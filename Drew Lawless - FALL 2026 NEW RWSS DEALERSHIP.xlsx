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redwingshoes-my.sharepoint.com/personal/tyler_johnson_redwingshoes_com/Documents/Desktop/Fall 2026 Buying Program/"/>
    </mc:Choice>
  </mc:AlternateContent>
  <xr:revisionPtr revIDLastSave="0" documentId="8_{487027E0-06E0-4024-8624-918AC3F94DBE}" xr6:coauthVersionLast="47" xr6:coauthVersionMax="47" xr10:uidLastSave="{00000000-0000-0000-0000-000000000000}"/>
  <bookViews>
    <workbookView xWindow="19095" yWindow="0" windowWidth="19410" windowHeight="15585" activeTab="1" autoFilterDateGrouping="0" xr2:uid="{00000000-000D-0000-FFFF-FFFF00000000}"/>
  </bookViews>
  <sheets>
    <sheet name="NEW SHOES" sheetId="21" r:id="rId1"/>
    <sheet name="EXISTING" sheetId="5" r:id="rId2"/>
    <sheet name="EUROPEAN SHOES" sheetId="6" state="hidden" r:id="rId3"/>
    <sheet name="CARE PRODUCTS &amp; MISC" sheetId="7" r:id="rId4"/>
    <sheet name="SOCKS" sheetId="8" state="hidden" r:id="rId5"/>
    <sheet name="FOOTBEDS" sheetId="14" state="hidden" r:id="rId6"/>
    <sheet name="BELTS" sheetId="9" r:id="rId7"/>
    <sheet name="GLOVES &amp; SCUFFS" sheetId="10" state="hidden" r:id="rId8"/>
    <sheet name="QUADREX &amp; SLIPPERS" sheetId="11" r:id="rId9"/>
    <sheet name="SAFETY GLASSES" sheetId="13" state="hidden" r:id="rId10"/>
    <sheet name="QR BELTS" sheetId="12" state="hidden" r:id="rId11"/>
    <sheet name="SKU Dist" sheetId="22" state="hidden" r:id="rId12"/>
    <sheet name="NOTES" sheetId="15" r:id="rId13"/>
  </sheets>
  <definedNames>
    <definedName name="_xlnm.Print_Area" localSheetId="6">BELTS!$A$1:$V$11</definedName>
    <definedName name="_xlnm.Print_Area" localSheetId="3">'CARE PRODUCTS &amp; MISC'!$A$1:$R$9</definedName>
    <definedName name="_xlnm.Print_Area" localSheetId="2">'EUROPEAN SHOES'!$A$1:$AC$57</definedName>
    <definedName name="_xlnm.Print_Area" localSheetId="1">EXISTING!$A$1:$AF$304</definedName>
    <definedName name="_xlnm.Print_Area" localSheetId="5">FOOTBEDS!$A$1:$W$11</definedName>
    <definedName name="_xlnm.Print_Area" localSheetId="7">'GLOVES &amp; SCUFFS'!$A$1:$X$11</definedName>
    <definedName name="_xlnm.Print_Area" localSheetId="0">'NEW SHOES'!$D$1:$AG$11</definedName>
    <definedName name="_xlnm.Print_Area" localSheetId="10">'QR BELTS'!$B$1:$W$10</definedName>
    <definedName name="_xlnm.Print_Area" localSheetId="8">'QUADREX &amp; SLIPPERS'!$A$1:$Y$11</definedName>
    <definedName name="_xlnm.Print_Area" localSheetId="9">'SAFETY GLASSES'!$A$1:$V$11</definedName>
    <definedName name="_xlnm.Print_Area" localSheetId="4">SOCKS!$A$1:$S$11</definedName>
    <definedName name="Width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7" l="1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27" i="7" l="1"/>
  <c r="X13" i="11"/>
  <c r="Y13" i="11" s="1"/>
  <c r="AF303" i="5"/>
  <c r="AD303" i="5"/>
  <c r="AD302" i="5"/>
  <c r="AF302" i="5" s="1"/>
  <c r="AF301" i="5"/>
  <c r="AD301" i="5"/>
  <c r="AF300" i="5"/>
  <c r="AD300" i="5"/>
  <c r="AD299" i="5"/>
  <c r="AF299" i="5" s="1"/>
  <c r="AD298" i="5"/>
  <c r="AF298" i="5" s="1"/>
  <c r="AF297" i="5"/>
  <c r="AD297" i="5"/>
  <c r="AF296" i="5"/>
  <c r="AD296" i="5"/>
  <c r="AD295" i="5"/>
  <c r="AF295" i="5" s="1"/>
  <c r="AD294" i="5"/>
  <c r="AF294" i="5" s="1"/>
  <c r="AF293" i="5"/>
  <c r="AD293" i="5"/>
  <c r="AF292" i="5"/>
  <c r="AD292" i="5"/>
  <c r="AD291" i="5"/>
  <c r="AF291" i="5" s="1"/>
  <c r="AD290" i="5"/>
  <c r="AF290" i="5" s="1"/>
  <c r="AF289" i="5"/>
  <c r="AD289" i="5"/>
  <c r="AF288" i="5"/>
  <c r="AD288" i="5"/>
  <c r="AD287" i="5"/>
  <c r="AF287" i="5" s="1"/>
  <c r="AD286" i="5"/>
  <c r="AF286" i="5" s="1"/>
  <c r="AF285" i="5"/>
  <c r="AD285" i="5"/>
  <c r="AF284" i="5"/>
  <c r="AD284" i="5"/>
  <c r="AD283" i="5"/>
  <c r="AF283" i="5" s="1"/>
  <c r="AD282" i="5"/>
  <c r="AF282" i="5" s="1"/>
  <c r="AF281" i="5"/>
  <c r="AD281" i="5"/>
  <c r="AF280" i="5"/>
  <c r="AD280" i="5"/>
  <c r="AD279" i="5"/>
  <c r="AF279" i="5" s="1"/>
  <c r="AD278" i="5"/>
  <c r="AF278" i="5" s="1"/>
  <c r="AF277" i="5"/>
  <c r="AD277" i="5"/>
  <c r="AF276" i="5"/>
  <c r="AD276" i="5"/>
  <c r="AD275" i="5"/>
  <c r="AF275" i="5" s="1"/>
  <c r="AD274" i="5"/>
  <c r="AF274" i="5" s="1"/>
  <c r="AF273" i="5"/>
  <c r="AD273" i="5"/>
  <c r="AF272" i="5"/>
  <c r="AD272" i="5"/>
  <c r="AD271" i="5"/>
  <c r="AF271" i="5" s="1"/>
  <c r="AD270" i="5"/>
  <c r="AF270" i="5" s="1"/>
  <c r="AF269" i="5"/>
  <c r="AD269" i="5"/>
  <c r="AF268" i="5"/>
  <c r="AD268" i="5"/>
  <c r="AD267" i="5"/>
  <c r="AF267" i="5" s="1"/>
  <c r="AD266" i="5"/>
  <c r="AF266" i="5" s="1"/>
  <c r="AF265" i="5"/>
  <c r="AD265" i="5"/>
  <c r="AF264" i="5"/>
  <c r="AD264" i="5"/>
  <c r="AD263" i="5"/>
  <c r="AF263" i="5" s="1"/>
  <c r="AD262" i="5"/>
  <c r="AF262" i="5" s="1"/>
  <c r="AF261" i="5"/>
  <c r="AD261" i="5"/>
  <c r="AF260" i="5"/>
  <c r="AD260" i="5"/>
  <c r="AD259" i="5"/>
  <c r="AF259" i="5" s="1"/>
  <c r="AD258" i="5"/>
  <c r="AF258" i="5" s="1"/>
  <c r="AF257" i="5"/>
  <c r="AD257" i="5"/>
  <c r="AF256" i="5"/>
  <c r="AD256" i="5"/>
  <c r="AD255" i="5"/>
  <c r="AF255" i="5" s="1"/>
  <c r="AD254" i="5"/>
  <c r="AF254" i="5" s="1"/>
  <c r="AF253" i="5"/>
  <c r="AD253" i="5"/>
  <c r="AF252" i="5"/>
  <c r="AD252" i="5"/>
  <c r="AD251" i="5"/>
  <c r="AF251" i="5" s="1"/>
  <c r="AD250" i="5"/>
  <c r="AF250" i="5" s="1"/>
  <c r="AF249" i="5"/>
  <c r="AD249" i="5"/>
  <c r="AF248" i="5"/>
  <c r="AD248" i="5"/>
  <c r="AD247" i="5"/>
  <c r="AF247" i="5" s="1"/>
  <c r="AD246" i="5"/>
  <c r="AF246" i="5" s="1"/>
  <c r="AF245" i="5"/>
  <c r="AD245" i="5"/>
  <c r="AF244" i="5"/>
  <c r="AD244" i="5"/>
  <c r="AD243" i="5"/>
  <c r="AF243" i="5" s="1"/>
  <c r="AD242" i="5"/>
  <c r="AF242" i="5" s="1"/>
  <c r="AF241" i="5"/>
  <c r="AD241" i="5"/>
  <c r="AF240" i="5"/>
  <c r="AD240" i="5"/>
  <c r="AD239" i="5"/>
  <c r="AF239" i="5" s="1"/>
  <c r="AD238" i="5"/>
  <c r="AF238" i="5" s="1"/>
  <c r="AF237" i="5"/>
  <c r="AD237" i="5"/>
  <c r="AF236" i="5"/>
  <c r="AD236" i="5"/>
  <c r="AD235" i="5"/>
  <c r="AF235" i="5" s="1"/>
  <c r="AD234" i="5"/>
  <c r="AF234" i="5" s="1"/>
  <c r="AF233" i="5"/>
  <c r="AD233" i="5"/>
  <c r="AF232" i="5"/>
  <c r="AD232" i="5"/>
  <c r="AD231" i="5"/>
  <c r="AF231" i="5" s="1"/>
  <c r="AD230" i="5"/>
  <c r="AF230" i="5" s="1"/>
  <c r="AF229" i="5"/>
  <c r="AD229" i="5"/>
  <c r="AF228" i="5"/>
  <c r="AD228" i="5"/>
  <c r="AD227" i="5"/>
  <c r="AF227" i="5" s="1"/>
  <c r="AD226" i="5"/>
  <c r="AF226" i="5" s="1"/>
  <c r="AF225" i="5"/>
  <c r="AD225" i="5"/>
  <c r="AF224" i="5"/>
  <c r="AD224" i="5"/>
  <c r="AD223" i="5"/>
  <c r="AF223" i="5" s="1"/>
  <c r="AD222" i="5"/>
  <c r="AF222" i="5" s="1"/>
  <c r="AF221" i="5"/>
  <c r="AD221" i="5"/>
  <c r="AF220" i="5"/>
  <c r="AD220" i="5"/>
  <c r="AD219" i="5"/>
  <c r="AF219" i="5" s="1"/>
  <c r="AD218" i="5"/>
  <c r="AF218" i="5" s="1"/>
  <c r="AF217" i="5"/>
  <c r="AD217" i="5"/>
  <c r="AF216" i="5"/>
  <c r="AD216" i="5"/>
  <c r="AD215" i="5"/>
  <c r="AF215" i="5" s="1"/>
  <c r="AD214" i="5"/>
  <c r="AF214" i="5" s="1"/>
  <c r="AF213" i="5"/>
  <c r="AD213" i="5"/>
  <c r="AF212" i="5"/>
  <c r="AD212" i="5"/>
  <c r="AD211" i="5"/>
  <c r="AF211" i="5" s="1"/>
  <c r="AD210" i="5"/>
  <c r="AF210" i="5" s="1"/>
  <c r="AF209" i="5"/>
  <c r="AD209" i="5"/>
  <c r="AF208" i="5"/>
  <c r="AD208" i="5"/>
  <c r="AD207" i="5"/>
  <c r="AF207" i="5" s="1"/>
  <c r="AD206" i="5"/>
  <c r="AF206" i="5" s="1"/>
  <c r="AF205" i="5"/>
  <c r="AD205" i="5"/>
  <c r="AF204" i="5"/>
  <c r="AD204" i="5"/>
  <c r="AD203" i="5"/>
  <c r="AF203" i="5" s="1"/>
  <c r="AD202" i="5"/>
  <c r="AF202" i="5" s="1"/>
  <c r="AF201" i="5"/>
  <c r="AD201" i="5"/>
  <c r="AF200" i="5"/>
  <c r="AD200" i="5"/>
  <c r="AD199" i="5"/>
  <c r="AF199" i="5" s="1"/>
  <c r="AD198" i="5"/>
  <c r="AF198" i="5" s="1"/>
  <c r="AF197" i="5"/>
  <c r="AD197" i="5"/>
  <c r="AF196" i="5"/>
  <c r="AD196" i="5"/>
  <c r="AD195" i="5"/>
  <c r="AF195" i="5" s="1"/>
  <c r="AD194" i="5"/>
  <c r="AF194" i="5" s="1"/>
  <c r="AF193" i="5"/>
  <c r="AD193" i="5"/>
  <c r="AF192" i="5"/>
  <c r="AD192" i="5"/>
  <c r="AD191" i="5"/>
  <c r="AF191" i="5" s="1"/>
  <c r="AD190" i="5"/>
  <c r="AF190" i="5" s="1"/>
  <c r="AF189" i="5"/>
  <c r="AD189" i="5"/>
  <c r="AF188" i="5"/>
  <c r="AD188" i="5"/>
  <c r="AD187" i="5"/>
  <c r="AF187" i="5" s="1"/>
  <c r="AD186" i="5"/>
  <c r="AF186" i="5" s="1"/>
  <c r="AF185" i="5"/>
  <c r="AD185" i="5"/>
  <c r="AF184" i="5"/>
  <c r="AD184" i="5"/>
  <c r="AD183" i="5"/>
  <c r="AF183" i="5" s="1"/>
  <c r="AD182" i="5"/>
  <c r="AF182" i="5" s="1"/>
  <c r="AF181" i="5"/>
  <c r="AD181" i="5"/>
  <c r="AF180" i="5"/>
  <c r="AD180" i="5"/>
  <c r="AD179" i="5"/>
  <c r="AF179" i="5" s="1"/>
  <c r="AD178" i="5"/>
  <c r="AF178" i="5" s="1"/>
  <c r="AF177" i="5"/>
  <c r="AD177" i="5"/>
  <c r="AF176" i="5"/>
  <c r="AD176" i="5"/>
  <c r="AD175" i="5"/>
  <c r="AF175" i="5" s="1"/>
  <c r="AD174" i="5"/>
  <c r="AF174" i="5" s="1"/>
  <c r="AF173" i="5"/>
  <c r="AD173" i="5"/>
  <c r="AF172" i="5"/>
  <c r="AD172" i="5"/>
  <c r="AD171" i="5"/>
  <c r="AF171" i="5" s="1"/>
  <c r="AD170" i="5"/>
  <c r="AF170" i="5" s="1"/>
  <c r="AF169" i="5"/>
  <c r="AD169" i="5"/>
  <c r="AF168" i="5"/>
  <c r="AD168" i="5"/>
  <c r="AD167" i="5"/>
  <c r="AF167" i="5" s="1"/>
  <c r="AD166" i="5"/>
  <c r="AF166" i="5" s="1"/>
  <c r="AF165" i="5"/>
  <c r="AD165" i="5"/>
  <c r="AF164" i="5"/>
  <c r="AD164" i="5"/>
  <c r="AD163" i="5"/>
  <c r="AF163" i="5" s="1"/>
  <c r="AD162" i="5"/>
  <c r="AF162" i="5" s="1"/>
  <c r="AF161" i="5"/>
  <c r="AD161" i="5"/>
  <c r="AF160" i="5"/>
  <c r="AD160" i="5"/>
  <c r="AD159" i="5"/>
  <c r="AF159" i="5" s="1"/>
  <c r="AD158" i="5"/>
  <c r="AF158" i="5" s="1"/>
  <c r="AF157" i="5"/>
  <c r="AD157" i="5"/>
  <c r="AF156" i="5"/>
  <c r="AD156" i="5"/>
  <c r="AD155" i="5"/>
  <c r="AF155" i="5" s="1"/>
  <c r="AD154" i="5"/>
  <c r="AF154" i="5" s="1"/>
  <c r="AF153" i="5"/>
  <c r="AD153" i="5"/>
  <c r="AF152" i="5"/>
  <c r="AD152" i="5"/>
  <c r="AD151" i="5"/>
  <c r="AF151" i="5" s="1"/>
  <c r="AD150" i="5"/>
  <c r="AF150" i="5" s="1"/>
  <c r="AF149" i="5"/>
  <c r="AD149" i="5"/>
  <c r="AF148" i="5"/>
  <c r="AD148" i="5"/>
  <c r="AD147" i="5"/>
  <c r="AF147" i="5" s="1"/>
  <c r="AD146" i="5"/>
  <c r="AF146" i="5" s="1"/>
  <c r="AF145" i="5"/>
  <c r="AD145" i="5"/>
  <c r="AF144" i="5"/>
  <c r="AD144" i="5"/>
  <c r="AD143" i="5"/>
  <c r="AF143" i="5" s="1"/>
  <c r="AD142" i="5"/>
  <c r="AF142" i="5" s="1"/>
  <c r="AF141" i="5"/>
  <c r="AD141" i="5"/>
  <c r="AF140" i="5"/>
  <c r="AD140" i="5"/>
  <c r="AD139" i="5"/>
  <c r="AF139" i="5" s="1"/>
  <c r="AD138" i="5"/>
  <c r="AF138" i="5" s="1"/>
  <c r="AF137" i="5"/>
  <c r="AD137" i="5"/>
  <c r="AF136" i="5"/>
  <c r="AD136" i="5"/>
  <c r="AD135" i="5"/>
  <c r="AF135" i="5" s="1"/>
  <c r="AD134" i="5"/>
  <c r="AF134" i="5" s="1"/>
  <c r="AF133" i="5"/>
  <c r="AD133" i="5"/>
  <c r="AF132" i="5"/>
  <c r="AD132" i="5"/>
  <c r="AD131" i="5"/>
  <c r="AF131" i="5" s="1"/>
  <c r="AD130" i="5"/>
  <c r="AF130" i="5" s="1"/>
  <c r="AF129" i="5"/>
  <c r="AD129" i="5"/>
  <c r="AF128" i="5"/>
  <c r="AD128" i="5"/>
  <c r="AD127" i="5"/>
  <c r="AF127" i="5" s="1"/>
  <c r="AD126" i="5"/>
  <c r="AF126" i="5" s="1"/>
  <c r="AF125" i="5"/>
  <c r="AD125" i="5"/>
  <c r="AF124" i="5"/>
  <c r="AD124" i="5"/>
  <c r="AD123" i="5"/>
  <c r="AF123" i="5" s="1"/>
  <c r="AD122" i="5"/>
  <c r="AF122" i="5" s="1"/>
  <c r="AF121" i="5"/>
  <c r="AD121" i="5"/>
  <c r="AF120" i="5"/>
  <c r="AD120" i="5"/>
  <c r="AD119" i="5"/>
  <c r="AF119" i="5" s="1"/>
  <c r="AD118" i="5"/>
  <c r="AF118" i="5" s="1"/>
  <c r="AF117" i="5"/>
  <c r="AD117" i="5"/>
  <c r="AF116" i="5"/>
  <c r="AD116" i="5"/>
  <c r="AD115" i="5"/>
  <c r="AF115" i="5" s="1"/>
  <c r="AD114" i="5"/>
  <c r="AF114" i="5" s="1"/>
  <c r="AF113" i="5"/>
  <c r="AD113" i="5"/>
  <c r="AF112" i="5"/>
  <c r="AD112" i="5"/>
  <c r="AD111" i="5"/>
  <c r="AF111" i="5" s="1"/>
  <c r="AD110" i="5"/>
  <c r="AF110" i="5" s="1"/>
  <c r="AF109" i="5"/>
  <c r="AD109" i="5"/>
  <c r="AF108" i="5"/>
  <c r="AD108" i="5"/>
  <c r="AD107" i="5"/>
  <c r="AF107" i="5" s="1"/>
  <c r="AD106" i="5"/>
  <c r="AF106" i="5" s="1"/>
  <c r="AF105" i="5"/>
  <c r="AD105" i="5"/>
  <c r="AF104" i="5"/>
  <c r="AD104" i="5"/>
  <c r="AD103" i="5"/>
  <c r="AF103" i="5" s="1"/>
  <c r="AD102" i="5"/>
  <c r="AF102" i="5" s="1"/>
  <c r="AF101" i="5"/>
  <c r="AD101" i="5"/>
  <c r="AF100" i="5"/>
  <c r="AD100" i="5"/>
  <c r="AD99" i="5"/>
  <c r="AF99" i="5" s="1"/>
  <c r="AD98" i="5"/>
  <c r="AF98" i="5" s="1"/>
  <c r="AF97" i="5"/>
  <c r="AD97" i="5"/>
  <c r="AD96" i="5"/>
  <c r="AF96" i="5" s="1"/>
  <c r="AD95" i="5"/>
  <c r="AF95" i="5" s="1"/>
  <c r="AD94" i="5"/>
  <c r="AF94" i="5" s="1"/>
  <c r="AF93" i="5"/>
  <c r="AD93" i="5"/>
  <c r="AF92" i="5"/>
  <c r="AD92" i="5"/>
  <c r="AD91" i="5"/>
  <c r="AF91" i="5" s="1"/>
  <c r="AD90" i="5"/>
  <c r="AF90" i="5" s="1"/>
  <c r="AF89" i="5"/>
  <c r="AD89" i="5"/>
  <c r="AF88" i="5"/>
  <c r="AD88" i="5"/>
  <c r="AD87" i="5"/>
  <c r="AF87" i="5" s="1"/>
  <c r="AD86" i="5"/>
  <c r="AF86" i="5" s="1"/>
  <c r="AF85" i="5"/>
  <c r="AD85" i="5"/>
  <c r="AF84" i="5"/>
  <c r="AD84" i="5"/>
  <c r="AD83" i="5"/>
  <c r="AF83" i="5" s="1"/>
  <c r="AD82" i="5"/>
  <c r="AF82" i="5" s="1"/>
  <c r="AF81" i="5"/>
  <c r="AD81" i="5"/>
  <c r="AF80" i="5"/>
  <c r="AD80" i="5"/>
  <c r="AD79" i="5"/>
  <c r="AF79" i="5" s="1"/>
  <c r="AD78" i="5"/>
  <c r="AF78" i="5" s="1"/>
  <c r="AF77" i="5"/>
  <c r="AD77" i="5"/>
  <c r="AF76" i="5"/>
  <c r="AD76" i="5"/>
  <c r="AD75" i="5"/>
  <c r="AF75" i="5" s="1"/>
  <c r="AD74" i="5"/>
  <c r="AF74" i="5" s="1"/>
  <c r="AF73" i="5"/>
  <c r="AD73" i="5"/>
  <c r="AD72" i="5"/>
  <c r="AF72" i="5" s="1"/>
  <c r="AD71" i="5"/>
  <c r="AF71" i="5" s="1"/>
  <c r="AD70" i="5"/>
  <c r="AF70" i="5" s="1"/>
  <c r="AF69" i="5"/>
  <c r="AD69" i="5"/>
  <c r="AD68" i="5"/>
  <c r="AF68" i="5" s="1"/>
  <c r="AD67" i="5"/>
  <c r="AF67" i="5" s="1"/>
  <c r="AD66" i="5"/>
  <c r="AF66" i="5" s="1"/>
  <c r="AF65" i="5"/>
  <c r="AD65" i="5"/>
  <c r="AD64" i="5"/>
  <c r="AF64" i="5" s="1"/>
  <c r="AD63" i="5"/>
  <c r="AF63" i="5" s="1"/>
  <c r="AD62" i="5"/>
  <c r="AF62" i="5" s="1"/>
  <c r="AF61" i="5"/>
  <c r="AD61" i="5"/>
  <c r="AD60" i="5"/>
  <c r="AF60" i="5" s="1"/>
  <c r="AD59" i="5"/>
  <c r="AF59" i="5" s="1"/>
  <c r="AD58" i="5"/>
  <c r="AF58" i="5" s="1"/>
  <c r="AF57" i="5"/>
  <c r="AD57" i="5"/>
  <c r="AD56" i="5"/>
  <c r="AF56" i="5" s="1"/>
  <c r="AD55" i="5"/>
  <c r="AF55" i="5" s="1"/>
  <c r="AD54" i="5"/>
  <c r="AF54" i="5" s="1"/>
  <c r="AF53" i="5"/>
  <c r="AD53" i="5"/>
  <c r="AD52" i="5"/>
  <c r="AF52" i="5" s="1"/>
  <c r="AD51" i="5"/>
  <c r="AF51" i="5" s="1"/>
  <c r="AD50" i="5"/>
  <c r="AF50" i="5" s="1"/>
  <c r="AF49" i="5"/>
  <c r="AD49" i="5"/>
  <c r="AD48" i="5"/>
  <c r="AF48" i="5" s="1"/>
  <c r="AD47" i="5"/>
  <c r="AF47" i="5" s="1"/>
  <c r="AD46" i="5"/>
  <c r="AF46" i="5" s="1"/>
  <c r="AF45" i="5"/>
  <c r="AD45" i="5"/>
  <c r="AD44" i="5"/>
  <c r="AF44" i="5" s="1"/>
  <c r="AD43" i="5"/>
  <c r="AF43" i="5" s="1"/>
  <c r="AD42" i="5"/>
  <c r="AF42" i="5" s="1"/>
  <c r="AF41" i="5"/>
  <c r="AD41" i="5"/>
  <c r="AD40" i="5"/>
  <c r="AF40" i="5" s="1"/>
  <c r="AD39" i="5"/>
  <c r="AF39" i="5" s="1"/>
  <c r="AF38" i="5"/>
  <c r="AD38" i="5"/>
  <c r="AF37" i="5"/>
  <c r="AD37" i="5"/>
  <c r="AD36" i="5"/>
  <c r="AF36" i="5" s="1"/>
  <c r="AD35" i="5"/>
  <c r="AF35" i="5" s="1"/>
  <c r="AD34" i="5"/>
  <c r="AF34" i="5" s="1"/>
  <c r="AF33" i="5"/>
  <c r="AD33" i="5"/>
  <c r="AD32" i="5"/>
  <c r="AF32" i="5" s="1"/>
  <c r="AD31" i="5"/>
  <c r="AF31" i="5" s="1"/>
  <c r="AD30" i="5"/>
  <c r="AF30" i="5" s="1"/>
  <c r="AF29" i="5"/>
  <c r="AD29" i="5"/>
  <c r="AD28" i="5"/>
  <c r="AF28" i="5" s="1"/>
  <c r="AD27" i="5"/>
  <c r="AF27" i="5" s="1"/>
  <c r="AD26" i="5"/>
  <c r="AF26" i="5" s="1"/>
  <c r="AF25" i="5"/>
  <c r="AD25" i="5"/>
  <c r="AD24" i="5"/>
  <c r="AF24" i="5" s="1"/>
  <c r="AD23" i="5"/>
  <c r="AF23" i="5" s="1"/>
  <c r="AD22" i="5"/>
  <c r="AF22" i="5" s="1"/>
  <c r="AF21" i="5"/>
  <c r="AD21" i="5"/>
  <c r="AD20" i="5"/>
  <c r="AF20" i="5" s="1"/>
  <c r="AD19" i="5"/>
  <c r="AF19" i="5" s="1"/>
  <c r="AF18" i="5"/>
  <c r="AD18" i="5"/>
  <c r="AF17" i="5"/>
  <c r="AD17" i="5"/>
  <c r="AD16" i="5"/>
  <c r="AF16" i="5" s="1"/>
  <c r="AD15" i="5"/>
  <c r="AF15" i="5" s="1"/>
  <c r="AF14" i="5"/>
  <c r="AD14" i="5"/>
  <c r="Q6" i="7" l="1"/>
  <c r="Q5" i="7"/>
  <c r="AT67" i="21"/>
  <c r="AT68" i="21" s="1"/>
  <c r="AT69" i="21" s="1"/>
  <c r="AT70" i="21" s="1"/>
  <c r="AT71" i="21" s="1"/>
  <c r="AT72" i="21" s="1"/>
  <c r="AT73" i="21" s="1"/>
  <c r="AT74" i="21" s="1"/>
  <c r="AT75" i="21" s="1"/>
  <c r="AT76" i="21" s="1"/>
  <c r="AT77" i="21" s="1"/>
  <c r="AT78" i="21" s="1"/>
  <c r="AT79" i="21" s="1"/>
  <c r="AT80" i="21" s="1"/>
  <c r="AT83" i="21" s="1"/>
  <c r="AT84" i="21" s="1"/>
  <c r="AT85" i="21" s="1"/>
  <c r="AT86" i="21" s="1"/>
  <c r="AT87" i="21" s="1"/>
  <c r="AT88" i="21" s="1"/>
  <c r="AT89" i="21" s="1"/>
  <c r="AT90" i="21" s="1"/>
  <c r="AT91" i="21" s="1"/>
  <c r="AT92" i="21" s="1"/>
  <c r="AT93" i="21" s="1"/>
  <c r="AT94" i="21" s="1"/>
  <c r="AT95" i="21" s="1"/>
  <c r="AT96" i="21" s="1"/>
  <c r="AT97" i="21" s="1"/>
  <c r="AT98" i="21" s="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AB44" i="21"/>
  <c r="AA44" i="21"/>
  <c r="Z44" i="21"/>
  <c r="Y44" i="21"/>
  <c r="X44" i="21"/>
  <c r="W44" i="21"/>
  <c r="V44" i="21"/>
  <c r="U44" i="21"/>
  <c r="T44" i="21"/>
  <c r="S44" i="21"/>
  <c r="R44" i="21"/>
  <c r="AB40" i="21"/>
  <c r="AA40" i="21"/>
  <c r="Z40" i="21"/>
  <c r="Y40" i="21"/>
  <c r="X40" i="21"/>
  <c r="W40" i="21"/>
  <c r="V40" i="21"/>
  <c r="U40" i="21"/>
  <c r="T40" i="21"/>
  <c r="S40" i="21"/>
  <c r="R40" i="21"/>
  <c r="AT37" i="21"/>
  <c r="AB37" i="21" s="1"/>
  <c r="Z31" i="21"/>
  <c r="Z32" i="21"/>
  <c r="AA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AA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N51" i="21"/>
  <c r="O51" i="21"/>
  <c r="P51" i="21"/>
  <c r="Q51" i="21"/>
  <c r="R51" i="21"/>
  <c r="S51" i="21"/>
  <c r="T51" i="21"/>
  <c r="U51" i="21"/>
  <c r="W51" i="21"/>
  <c r="X51" i="21"/>
  <c r="Y51" i="21"/>
  <c r="Z51" i="21"/>
  <c r="AA51" i="21"/>
  <c r="AB51" i="21"/>
  <c r="V51" i="21"/>
  <c r="V52" i="21"/>
  <c r="AT33" i="21"/>
  <c r="AT34" i="21" s="1"/>
  <c r="AT35" i="21" s="1"/>
  <c r="AA36" i="21"/>
  <c r="AB36" i="21"/>
  <c r="R36" i="21"/>
  <c r="S36" i="21"/>
  <c r="T36" i="21"/>
  <c r="U36" i="21"/>
  <c r="V36" i="21"/>
  <c r="W36" i="21"/>
  <c r="X36" i="21"/>
  <c r="Y36" i="21"/>
  <c r="Z36" i="21"/>
  <c r="Q68" i="21" l="1"/>
  <c r="P68" i="21"/>
  <c r="L67" i="21"/>
  <c r="N97" i="21"/>
  <c r="O68" i="21"/>
  <c r="O67" i="21"/>
  <c r="AT99" i="21"/>
  <c r="M67" i="21"/>
  <c r="O97" i="21"/>
  <c r="P98" i="21"/>
  <c r="Q98" i="21"/>
  <c r="AA97" i="21"/>
  <c r="AA98" i="21"/>
  <c r="P97" i="21"/>
  <c r="Q97" i="21"/>
  <c r="R97" i="21"/>
  <c r="R98" i="21"/>
  <c r="AB97" i="21"/>
  <c r="AB98" i="21"/>
  <c r="AC97" i="21"/>
  <c r="AT81" i="21"/>
  <c r="Y81" i="21" s="1"/>
  <c r="N68" i="21"/>
  <c r="M68" i="21"/>
  <c r="L68" i="21"/>
  <c r="N67" i="21"/>
  <c r="AG56" i="21"/>
  <c r="AI56" i="21" s="1"/>
  <c r="AG61" i="21"/>
  <c r="AI61" i="21" s="1"/>
  <c r="AG62" i="21"/>
  <c r="AI62" i="21" s="1"/>
  <c r="AG55" i="21"/>
  <c r="AI55" i="21" s="1"/>
  <c r="AG58" i="21"/>
  <c r="AI58" i="21" s="1"/>
  <c r="AG57" i="21"/>
  <c r="AI57" i="21" s="1"/>
  <c r="AG59" i="21"/>
  <c r="AI59" i="21" s="1"/>
  <c r="AG60" i="21"/>
  <c r="AI60" i="21" s="1"/>
  <c r="AG44" i="21"/>
  <c r="AI44" i="21" s="1"/>
  <c r="AG40" i="21"/>
  <c r="AI40" i="21" s="1"/>
  <c r="V37" i="21"/>
  <c r="W37" i="21"/>
  <c r="X37" i="21"/>
  <c r="Y37" i="21"/>
  <c r="Z37" i="21"/>
  <c r="AT38" i="21"/>
  <c r="AT41" i="21" s="1"/>
  <c r="AA37" i="21"/>
  <c r="AG31" i="21"/>
  <c r="AI31" i="21" s="1"/>
  <c r="AG32" i="21"/>
  <c r="AI32" i="21" s="1"/>
  <c r="AG36" i="21"/>
  <c r="AT100" i="21" l="1"/>
  <c r="AT101" i="21" s="1"/>
  <c r="Y99" i="21"/>
  <c r="Q99" i="21"/>
  <c r="V99" i="21"/>
  <c r="X99" i="21"/>
  <c r="P99" i="21"/>
  <c r="W99" i="21"/>
  <c r="O99" i="21"/>
  <c r="N99" i="21"/>
  <c r="AC99" i="21"/>
  <c r="U99" i="21"/>
  <c r="AB99" i="21"/>
  <c r="T99" i="21"/>
  <c r="AA99" i="21"/>
  <c r="S99" i="21"/>
  <c r="Z99" i="21"/>
  <c r="R99" i="21"/>
  <c r="AG97" i="21"/>
  <c r="AG98" i="21"/>
  <c r="AI98" i="21" s="1"/>
  <c r="T81" i="21"/>
  <c r="AT82" i="21"/>
  <c r="W81" i="21"/>
  <c r="AB81" i="21"/>
  <c r="AA81" i="21"/>
  <c r="X81" i="21"/>
  <c r="U81" i="21"/>
  <c r="R81" i="21"/>
  <c r="S81" i="21"/>
  <c r="Z81" i="21"/>
  <c r="V81" i="21"/>
  <c r="Y41" i="21"/>
  <c r="X41" i="21"/>
  <c r="V41" i="21"/>
  <c r="W41" i="21"/>
  <c r="AB41" i="21"/>
  <c r="AA41" i="21"/>
  <c r="AT42" i="21"/>
  <c r="Z41" i="21"/>
  <c r="AG37" i="21"/>
  <c r="AI37" i="21" s="1"/>
  <c r="R38" i="21"/>
  <c r="Q38" i="21"/>
  <c r="P38" i="21"/>
  <c r="O38" i="21"/>
  <c r="N38" i="21"/>
  <c r="AB38" i="21"/>
  <c r="AA38" i="21"/>
  <c r="AC38" i="21"/>
  <c r="AT39" i="21"/>
  <c r="AI36" i="21"/>
  <c r="W101" i="21" l="1"/>
  <c r="O101" i="21"/>
  <c r="V101" i="21"/>
  <c r="N101" i="21"/>
  <c r="S101" i="21"/>
  <c r="R101" i="21"/>
  <c r="AC101" i="21"/>
  <c r="U101" i="21"/>
  <c r="AB101" i="21"/>
  <c r="T101" i="21"/>
  <c r="AA101" i="21"/>
  <c r="Z101" i="21"/>
  <c r="Y101" i="21"/>
  <c r="Q101" i="21"/>
  <c r="AT102" i="21"/>
  <c r="X101" i="21"/>
  <c r="P101" i="21"/>
  <c r="AI97" i="21"/>
  <c r="AG99" i="21"/>
  <c r="AI99" i="21" s="1"/>
  <c r="W100" i="21"/>
  <c r="T100" i="21"/>
  <c r="AA100" i="21"/>
  <c r="V100" i="21"/>
  <c r="S100" i="21"/>
  <c r="U100" i="21"/>
  <c r="AB100" i="21"/>
  <c r="Z100" i="21"/>
  <c r="R100" i="21"/>
  <c r="Y100" i="21"/>
  <c r="Q100" i="21"/>
  <c r="X100" i="21"/>
  <c r="P100" i="21"/>
  <c r="AG81" i="21"/>
  <c r="AI81" i="21" s="1"/>
  <c r="V82" i="21"/>
  <c r="Z82" i="21"/>
  <c r="AA82" i="21"/>
  <c r="Y82" i="21"/>
  <c r="U82" i="21"/>
  <c r="R82" i="21"/>
  <c r="AB82" i="21"/>
  <c r="T82" i="21"/>
  <c r="X82" i="21"/>
  <c r="S82" i="21"/>
  <c r="W82" i="21"/>
  <c r="AG41" i="21"/>
  <c r="AI41" i="21" s="1"/>
  <c r="O42" i="21"/>
  <c r="AB42" i="21"/>
  <c r="N42" i="21"/>
  <c r="AC42" i="21"/>
  <c r="AT43" i="21"/>
  <c r="AA42" i="21"/>
  <c r="R42" i="21"/>
  <c r="Q42" i="21"/>
  <c r="P42" i="21"/>
  <c r="AG38" i="21"/>
  <c r="N39" i="21"/>
  <c r="Q39" i="21"/>
  <c r="AC39" i="21"/>
  <c r="AB39" i="21"/>
  <c r="P39" i="21"/>
  <c r="AA39" i="21"/>
  <c r="R39" i="21"/>
  <c r="O39" i="21"/>
  <c r="V102" i="21" l="1"/>
  <c r="R102" i="21"/>
  <c r="Y102" i="21"/>
  <c r="U102" i="21"/>
  <c r="AB102" i="21"/>
  <c r="T102" i="21"/>
  <c r="Q102" i="21"/>
  <c r="AA102" i="21"/>
  <c r="S102" i="21"/>
  <c r="Z102" i="21"/>
  <c r="X102" i="21"/>
  <c r="P102" i="21"/>
  <c r="W102" i="21"/>
  <c r="AG101" i="21"/>
  <c r="AI101" i="21" s="1"/>
  <c r="AG100" i="21"/>
  <c r="AI100" i="21" s="1"/>
  <c r="AG82" i="21"/>
  <c r="AI82" i="21" s="1"/>
  <c r="AG42" i="21"/>
  <c r="AI42" i="21" s="1"/>
  <c r="AB43" i="21"/>
  <c r="AA43" i="21"/>
  <c r="Q43" i="21"/>
  <c r="R43" i="21"/>
  <c r="P43" i="21"/>
  <c r="O43" i="21"/>
  <c r="N43" i="21"/>
  <c r="AC43" i="21"/>
  <c r="AG39" i="21"/>
  <c r="AI39" i="21" s="1"/>
  <c r="AI38" i="21"/>
  <c r="AG102" i="21" l="1"/>
  <c r="AI102" i="21" s="1"/>
  <c r="AG43" i="21"/>
  <c r="AI43" i="21" s="1"/>
  <c r="F6" i="21" l="1"/>
  <c r="U6" i="12" l="1"/>
  <c r="U5" i="12"/>
  <c r="AD304" i="5" l="1"/>
  <c r="AF304" i="5" l="1"/>
  <c r="AT12" i="21" l="1"/>
  <c r="L12" i="21" l="1"/>
  <c r="M12" i="21"/>
  <c r="O12" i="21"/>
  <c r="P12" i="21"/>
  <c r="Q12" i="21"/>
  <c r="N12" i="21"/>
  <c r="AA12" i="21"/>
  <c r="AC12" i="21"/>
  <c r="AB12" i="21"/>
  <c r="R12" i="21"/>
  <c r="AT13" i="21"/>
  <c r="Y84" i="22"/>
  <c r="E84" i="22"/>
  <c r="Y83" i="22"/>
  <c r="Z83" i="22" s="1"/>
  <c r="E83" i="22"/>
  <c r="Y82" i="22"/>
  <c r="E82" i="22"/>
  <c r="Y81" i="22"/>
  <c r="E81" i="22"/>
  <c r="Y80" i="22"/>
  <c r="E80" i="22"/>
  <c r="Y79" i="22"/>
  <c r="Z79" i="22" s="1"/>
  <c r="E79" i="22"/>
  <c r="Y78" i="22"/>
  <c r="E78" i="22"/>
  <c r="Y77" i="22"/>
  <c r="E77" i="22"/>
  <c r="Y76" i="22"/>
  <c r="E76" i="22"/>
  <c r="Y75" i="22"/>
  <c r="Z75" i="22" s="1"/>
  <c r="E75" i="22"/>
  <c r="Y74" i="22"/>
  <c r="E74" i="22"/>
  <c r="Y73" i="22"/>
  <c r="E73" i="22"/>
  <c r="Y72" i="22"/>
  <c r="E72" i="22"/>
  <c r="Y71" i="22"/>
  <c r="Z71" i="22" s="1"/>
  <c r="E71" i="22"/>
  <c r="Y70" i="22"/>
  <c r="E70" i="22"/>
  <c r="Y69" i="22"/>
  <c r="E69" i="22"/>
  <c r="Y68" i="22"/>
  <c r="E68" i="22"/>
  <c r="Y67" i="22"/>
  <c r="Z67" i="22" s="1"/>
  <c r="E67" i="22"/>
  <c r="Y66" i="22"/>
  <c r="E66" i="22"/>
  <c r="Y65" i="22"/>
  <c r="E65" i="22"/>
  <c r="Y64" i="22"/>
  <c r="E64" i="22"/>
  <c r="Y63" i="22"/>
  <c r="E63" i="22"/>
  <c r="Y62" i="22"/>
  <c r="E62" i="22"/>
  <c r="Y61" i="22"/>
  <c r="E61" i="22"/>
  <c r="Y60" i="22"/>
  <c r="E60" i="22"/>
  <c r="Y59" i="22"/>
  <c r="Z59" i="22" s="1"/>
  <c r="E59" i="22"/>
  <c r="Y58" i="22"/>
  <c r="E58" i="22"/>
  <c r="Y57" i="22"/>
  <c r="E57" i="22"/>
  <c r="Y56" i="22"/>
  <c r="E56" i="22"/>
  <c r="Y55" i="22"/>
  <c r="Z55" i="22" s="1"/>
  <c r="E55" i="22"/>
  <c r="Y54" i="22"/>
  <c r="E54" i="22"/>
  <c r="Y53" i="22"/>
  <c r="E53" i="22"/>
  <c r="Y52" i="22"/>
  <c r="E52" i="22"/>
  <c r="Y51" i="22"/>
  <c r="E51" i="22"/>
  <c r="Y50" i="22"/>
  <c r="E50" i="22"/>
  <c r="Y49" i="22"/>
  <c r="E49" i="22"/>
  <c r="Y48" i="22"/>
  <c r="E48" i="22"/>
  <c r="Y47" i="22"/>
  <c r="E47" i="22"/>
  <c r="Y46" i="22"/>
  <c r="E46" i="22"/>
  <c r="Y45" i="22"/>
  <c r="E45" i="22"/>
  <c r="Y44" i="22"/>
  <c r="E44" i="22"/>
  <c r="Y43" i="22"/>
  <c r="Z43" i="22" s="1"/>
  <c r="E43" i="22"/>
  <c r="Y42" i="22"/>
  <c r="E42" i="22"/>
  <c r="Y41" i="22"/>
  <c r="E41" i="22"/>
  <c r="Y40" i="22"/>
  <c r="E40" i="22"/>
  <c r="Y39" i="22"/>
  <c r="Z39" i="22" s="1"/>
  <c r="E39" i="22"/>
  <c r="Y38" i="22"/>
  <c r="E38" i="22"/>
  <c r="Y37" i="22"/>
  <c r="E37" i="22"/>
  <c r="Y36" i="22"/>
  <c r="E36" i="22"/>
  <c r="Y35" i="22"/>
  <c r="E35" i="22"/>
  <c r="Y34" i="22"/>
  <c r="E34" i="22"/>
  <c r="Y33" i="22"/>
  <c r="E33" i="22"/>
  <c r="Y32" i="22"/>
  <c r="E32" i="22"/>
  <c r="Y31" i="22"/>
  <c r="E31" i="22"/>
  <c r="Y30" i="22"/>
  <c r="E30" i="22"/>
  <c r="Y29" i="22"/>
  <c r="E29" i="22"/>
  <c r="Y28" i="22"/>
  <c r="E28" i="22"/>
  <c r="Y27" i="22"/>
  <c r="Z27" i="22" s="1"/>
  <c r="E27" i="22"/>
  <c r="Y26" i="22"/>
  <c r="E26" i="22"/>
  <c r="Y25" i="22"/>
  <c r="E25" i="22"/>
  <c r="Y24" i="22"/>
  <c r="E24" i="22"/>
  <c r="Y23" i="22"/>
  <c r="E23" i="22"/>
  <c r="Y22" i="22"/>
  <c r="E22" i="22"/>
  <c r="Y21" i="22"/>
  <c r="E21" i="22"/>
  <c r="Y20" i="22"/>
  <c r="E20" i="22"/>
  <c r="Y19" i="22"/>
  <c r="E19" i="22"/>
  <c r="Y18" i="22"/>
  <c r="E18" i="22"/>
  <c r="Y17" i="22"/>
  <c r="E17" i="22"/>
  <c r="Y16" i="22"/>
  <c r="E16" i="22"/>
  <c r="Y15" i="22"/>
  <c r="Z15" i="22" s="1"/>
  <c r="E15" i="22"/>
  <c r="Y14" i="22"/>
  <c r="E14" i="22"/>
  <c r="Y13" i="22"/>
  <c r="E13" i="22"/>
  <c r="Y12" i="22"/>
  <c r="E12" i="22"/>
  <c r="Y11" i="22"/>
  <c r="E11" i="22"/>
  <c r="Y10" i="22"/>
  <c r="E10" i="22"/>
  <c r="Y9" i="22"/>
  <c r="E9" i="22"/>
  <c r="Y8" i="22"/>
  <c r="E8" i="22"/>
  <c r="Y7" i="22"/>
  <c r="E7" i="22"/>
  <c r="Y6" i="22"/>
  <c r="E6" i="22"/>
  <c r="Y5" i="22"/>
  <c r="E5" i="22"/>
  <c r="Y4" i="22"/>
  <c r="E4" i="22"/>
  <c r="Y3" i="22"/>
  <c r="E3" i="22"/>
  <c r="L13" i="21" l="1"/>
  <c r="M13" i="21"/>
  <c r="O13" i="21"/>
  <c r="P13" i="21"/>
  <c r="N13" i="21"/>
  <c r="Q13" i="21"/>
  <c r="AG12" i="21"/>
  <c r="AB13" i="21"/>
  <c r="AT14" i="21"/>
  <c r="R13" i="21"/>
  <c r="AA13" i="21"/>
  <c r="Z3" i="22"/>
  <c r="Z12" i="22"/>
  <c r="Z69" i="22"/>
  <c r="Z73" i="22"/>
  <c r="Z18" i="22"/>
  <c r="Z30" i="22"/>
  <c r="Z61" i="22"/>
  <c r="Z47" i="22"/>
  <c r="Z77" i="22"/>
  <c r="Z81" i="22"/>
  <c r="Z36" i="22"/>
  <c r="Z51" i="22"/>
  <c r="Z21" i="22"/>
  <c r="Z33" i="22"/>
  <c r="Z41" i="22"/>
  <c r="Z49" i="22"/>
  <c r="Z53" i="22"/>
  <c r="Z6" i="22"/>
  <c r="Z65" i="22"/>
  <c r="Z45" i="22"/>
  <c r="Z57" i="22"/>
  <c r="Z9" i="22"/>
  <c r="Z24" i="22"/>
  <c r="Z63" i="22"/>
  <c r="L14" i="21" l="1"/>
  <c r="Q14" i="21"/>
  <c r="M14" i="21"/>
  <c r="N14" i="21"/>
  <c r="P14" i="21"/>
  <c r="O14" i="21"/>
  <c r="AT15" i="21"/>
  <c r="AB14" i="21"/>
  <c r="AI12" i="21"/>
  <c r="V14" i="21"/>
  <c r="W14" i="21"/>
  <c r="T14" i="21"/>
  <c r="U14" i="21"/>
  <c r="S14" i="21"/>
  <c r="Z14" i="21"/>
  <c r="Y14" i="21"/>
  <c r="R14" i="21"/>
  <c r="X14" i="21"/>
  <c r="AA14" i="21"/>
  <c r="AG13" i="21"/>
  <c r="T12" i="14"/>
  <c r="W12" i="14" s="1"/>
  <c r="U15" i="21" l="1"/>
  <c r="L15" i="21"/>
  <c r="M15" i="21"/>
  <c r="AT21" i="21"/>
  <c r="T15" i="21"/>
  <c r="W15" i="21"/>
  <c r="AA15" i="21"/>
  <c r="X15" i="21"/>
  <c r="Z15" i="21"/>
  <c r="S15" i="21"/>
  <c r="V15" i="21"/>
  <c r="R15" i="21"/>
  <c r="Y15" i="21"/>
  <c r="AT16" i="21"/>
  <c r="AB15" i="21"/>
  <c r="P15" i="21"/>
  <c r="AC15" i="21"/>
  <c r="Q15" i="21"/>
  <c r="N15" i="21"/>
  <c r="O15" i="21"/>
  <c r="AI13" i="21"/>
  <c r="AG14" i="21"/>
  <c r="AI14" i="21" s="1"/>
  <c r="AT22" i="21" l="1"/>
  <c r="L16" i="21"/>
  <c r="M16" i="21"/>
  <c r="AT25" i="21"/>
  <c r="AB22" i="21"/>
  <c r="AA22" i="21"/>
  <c r="AT24" i="21"/>
  <c r="AB21" i="21"/>
  <c r="AA21" i="21"/>
  <c r="N21" i="21"/>
  <c r="R21" i="21"/>
  <c r="Q21" i="21"/>
  <c r="P21" i="21"/>
  <c r="O21" i="21"/>
  <c r="AG15" i="21"/>
  <c r="AT17" i="21"/>
  <c r="AB16" i="21"/>
  <c r="N16" i="21"/>
  <c r="O16" i="21"/>
  <c r="P16" i="21"/>
  <c r="Q16" i="21"/>
  <c r="S16" i="21"/>
  <c r="Z16" i="21"/>
  <c r="X16" i="21"/>
  <c r="T16" i="21"/>
  <c r="Y16" i="21"/>
  <c r="V16" i="21"/>
  <c r="R16" i="21"/>
  <c r="U16" i="21"/>
  <c r="W16" i="21"/>
  <c r="AA16" i="21"/>
  <c r="N22" i="21"/>
  <c r="O22" i="21"/>
  <c r="P22" i="21"/>
  <c r="Q22" i="21"/>
  <c r="R22" i="21"/>
  <c r="X18" i="11"/>
  <c r="Y18" i="11" s="1"/>
  <c r="X17" i="11"/>
  <c r="Y17" i="11" s="1"/>
  <c r="X16" i="11"/>
  <c r="Y16" i="11" s="1"/>
  <c r="X15" i="11"/>
  <c r="Y15" i="11" s="1"/>
  <c r="X14" i="11"/>
  <c r="Y14" i="11" s="1"/>
  <c r="X12" i="11"/>
  <c r="Y12" i="11" s="1"/>
  <c r="AB17" i="21" l="1"/>
  <c r="P17" i="21"/>
  <c r="Q17" i="21"/>
  <c r="L17" i="21"/>
  <c r="N17" i="21"/>
  <c r="O17" i="21"/>
  <c r="M17" i="21"/>
  <c r="AI15" i="21"/>
  <c r="AT23" i="21"/>
  <c r="R23" i="21" s="1"/>
  <c r="AT18" i="21"/>
  <c r="AT26" i="21"/>
  <c r="V23" i="21"/>
  <c r="Y23" i="21"/>
  <c r="S23" i="21"/>
  <c r="AG21" i="21"/>
  <c r="AI21" i="21" s="1"/>
  <c r="AG16" i="21"/>
  <c r="V17" i="21"/>
  <c r="X17" i="21"/>
  <c r="Y17" i="21"/>
  <c r="T17" i="21"/>
  <c r="S17" i="21"/>
  <c r="U17" i="21"/>
  <c r="W17" i="21"/>
  <c r="AA17" i="21"/>
  <c r="Z17" i="21"/>
  <c r="R17" i="21"/>
  <c r="AG22" i="21"/>
  <c r="AI22" i="21" s="1"/>
  <c r="AA56" i="6"/>
  <c r="AC56" i="6" s="1"/>
  <c r="AA55" i="6"/>
  <c r="AC55" i="6" s="1"/>
  <c r="AA54" i="6"/>
  <c r="AC54" i="6" s="1"/>
  <c r="AC53" i="6"/>
  <c r="AA53" i="6"/>
  <c r="AA52" i="6"/>
  <c r="AC52" i="6" s="1"/>
  <c r="AA51" i="6"/>
  <c r="AC51" i="6" s="1"/>
  <c r="AA50" i="6"/>
  <c r="AC50" i="6" s="1"/>
  <c r="AA49" i="6"/>
  <c r="AC49" i="6" s="1"/>
  <c r="AA48" i="6"/>
  <c r="AC48" i="6" s="1"/>
  <c r="AA47" i="6"/>
  <c r="AC47" i="6" s="1"/>
  <c r="AA46" i="6"/>
  <c r="AC46" i="6" s="1"/>
  <c r="AC45" i="6"/>
  <c r="AA45" i="6"/>
  <c r="AA44" i="6"/>
  <c r="AC44" i="6" s="1"/>
  <c r="AA43" i="6"/>
  <c r="AC43" i="6" s="1"/>
  <c r="AA42" i="6"/>
  <c r="AC42" i="6" s="1"/>
  <c r="AA41" i="6"/>
  <c r="AC41" i="6" s="1"/>
  <c r="AA40" i="6"/>
  <c r="AC40" i="6" s="1"/>
  <c r="AA39" i="6"/>
  <c r="AC39" i="6" s="1"/>
  <c r="AA38" i="6"/>
  <c r="AC38" i="6" s="1"/>
  <c r="AA37" i="6"/>
  <c r="AC37" i="6" s="1"/>
  <c r="AA36" i="6"/>
  <c r="AC36" i="6" s="1"/>
  <c r="AA35" i="6"/>
  <c r="AC35" i="6" s="1"/>
  <c r="AA34" i="6"/>
  <c r="AC34" i="6" s="1"/>
  <c r="AA33" i="6"/>
  <c r="AC33" i="6" s="1"/>
  <c r="AA32" i="6"/>
  <c r="AC32" i="6" s="1"/>
  <c r="AA31" i="6"/>
  <c r="AC31" i="6" s="1"/>
  <c r="AA30" i="6"/>
  <c r="AC30" i="6" s="1"/>
  <c r="AA29" i="6"/>
  <c r="AC29" i="6" s="1"/>
  <c r="AA28" i="6"/>
  <c r="AC28" i="6" s="1"/>
  <c r="AA27" i="6"/>
  <c r="AC27" i="6" s="1"/>
  <c r="AA26" i="6"/>
  <c r="AC26" i="6" s="1"/>
  <c r="AA25" i="6"/>
  <c r="AC25" i="6" s="1"/>
  <c r="AA24" i="6"/>
  <c r="AC24" i="6" s="1"/>
  <c r="AA23" i="6"/>
  <c r="AC23" i="6" s="1"/>
  <c r="AA22" i="6"/>
  <c r="AC22" i="6" s="1"/>
  <c r="AC21" i="6"/>
  <c r="AA21" i="6"/>
  <c r="AA20" i="6"/>
  <c r="AC20" i="6" s="1"/>
  <c r="AA19" i="6"/>
  <c r="AC19" i="6" s="1"/>
  <c r="AA18" i="6"/>
  <c r="AC18" i="6" s="1"/>
  <c r="AA17" i="6"/>
  <c r="AC17" i="6" s="1"/>
  <c r="AA16" i="6"/>
  <c r="AC16" i="6" s="1"/>
  <c r="AA15" i="6"/>
  <c r="AC15" i="6" s="1"/>
  <c r="AA14" i="6"/>
  <c r="AC14" i="6" s="1"/>
  <c r="L18" i="21" l="1"/>
  <c r="M18" i="21"/>
  <c r="X23" i="21"/>
  <c r="T23" i="21"/>
  <c r="AA23" i="21"/>
  <c r="Z23" i="21"/>
  <c r="AB23" i="21"/>
  <c r="W23" i="21"/>
  <c r="U23" i="21"/>
  <c r="V18" i="21"/>
  <c r="N18" i="21"/>
  <c r="AA18" i="21"/>
  <c r="S18" i="21"/>
  <c r="W18" i="21"/>
  <c r="AC18" i="21"/>
  <c r="U18" i="21"/>
  <c r="Z18" i="21"/>
  <c r="O18" i="21"/>
  <c r="AB18" i="21"/>
  <c r="T18" i="21"/>
  <c r="AT19" i="21"/>
  <c r="R18" i="21"/>
  <c r="Y18" i="21"/>
  <c r="Q18" i="21"/>
  <c r="X18" i="21"/>
  <c r="P18" i="21"/>
  <c r="AI16" i="21"/>
  <c r="AG17" i="21"/>
  <c r="AI17" i="21" s="1"/>
  <c r="L19" i="21" l="1"/>
  <c r="M19" i="21"/>
  <c r="AG23" i="21"/>
  <c r="AI23" i="21" s="1"/>
  <c r="AB19" i="21"/>
  <c r="T19" i="21"/>
  <c r="AA19" i="21"/>
  <c r="S19" i="21"/>
  <c r="X19" i="21"/>
  <c r="Z19" i="21"/>
  <c r="R19" i="21"/>
  <c r="P19" i="21"/>
  <c r="O19" i="21"/>
  <c r="Y19" i="21"/>
  <c r="Q19" i="21"/>
  <c r="W19" i="21"/>
  <c r="V19" i="21"/>
  <c r="N19" i="21"/>
  <c r="AT20" i="21"/>
  <c r="U19" i="21"/>
  <c r="AG18" i="21"/>
  <c r="AI18" i="21" s="1"/>
  <c r="O15" i="8"/>
  <c r="P15" i="8" s="1"/>
  <c r="O14" i="8"/>
  <c r="P14" i="8" s="1"/>
  <c r="O13" i="8"/>
  <c r="P13" i="8" s="1"/>
  <c r="O12" i="8"/>
  <c r="P12" i="8" s="1"/>
  <c r="N20" i="21" l="1"/>
  <c r="AB20" i="21"/>
  <c r="O20" i="21"/>
  <c r="P20" i="21"/>
  <c r="Q20" i="21"/>
  <c r="M20" i="21"/>
  <c r="L20" i="21"/>
  <c r="U20" i="21"/>
  <c r="T20" i="21"/>
  <c r="AA20" i="21"/>
  <c r="S20" i="21"/>
  <c r="Y20" i="21"/>
  <c r="X20" i="21"/>
  <c r="Z20" i="21"/>
  <c r="R20" i="21"/>
  <c r="W20" i="21"/>
  <c r="V20" i="21"/>
  <c r="AG19" i="21"/>
  <c r="AI19" i="21" s="1"/>
  <c r="AC25" i="21"/>
  <c r="R25" i="21"/>
  <c r="AA25" i="21"/>
  <c r="Q25" i="21"/>
  <c r="O25" i="21"/>
  <c r="N25" i="21"/>
  <c r="P25" i="21"/>
  <c r="AB25" i="21"/>
  <c r="I29" i="13"/>
  <c r="R5" i="13" s="1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S25" i="9"/>
  <c r="V25" i="9" s="1"/>
  <c r="S24" i="9"/>
  <c r="V24" i="9" s="1"/>
  <c r="S23" i="9"/>
  <c r="V23" i="9" s="1"/>
  <c r="S22" i="9"/>
  <c r="V22" i="9" s="1"/>
  <c r="S21" i="9"/>
  <c r="V21" i="9" s="1"/>
  <c r="S20" i="9"/>
  <c r="V20" i="9" s="1"/>
  <c r="S19" i="9"/>
  <c r="V19" i="9" s="1"/>
  <c r="S18" i="9"/>
  <c r="V18" i="9" s="1"/>
  <c r="S17" i="9"/>
  <c r="V17" i="9" s="1"/>
  <c r="S16" i="9"/>
  <c r="V16" i="9" s="1"/>
  <c r="S15" i="9"/>
  <c r="V15" i="9" s="1"/>
  <c r="S14" i="9"/>
  <c r="V14" i="9" s="1"/>
  <c r="S13" i="9"/>
  <c r="V13" i="9" s="1"/>
  <c r="S12" i="9"/>
  <c r="AG20" i="21" l="1"/>
  <c r="AT27" i="21"/>
  <c r="AT28" i="21" s="1"/>
  <c r="O26" i="21"/>
  <c r="P26" i="21"/>
  <c r="Q26" i="21"/>
  <c r="N26" i="21"/>
  <c r="AC26" i="21"/>
  <c r="A24" i="21"/>
  <c r="A23" i="21"/>
  <c r="S26" i="9"/>
  <c r="Q4" i="9" s="1"/>
  <c r="O16" i="8"/>
  <c r="R5" i="8" s="1"/>
  <c r="J29" i="13"/>
  <c r="R6" i="13" s="1"/>
  <c r="V12" i="9"/>
  <c r="V26" i="9" s="1"/>
  <c r="Q5" i="9" s="1"/>
  <c r="P16" i="8"/>
  <c r="R6" i="8" s="1"/>
  <c r="AI20" i="21" l="1"/>
  <c r="A15" i="21" s="1"/>
  <c r="A14" i="21"/>
  <c r="U28" i="21"/>
  <c r="X28" i="21"/>
  <c r="V28" i="21"/>
  <c r="W28" i="21"/>
  <c r="AC28" i="21"/>
  <c r="Y28" i="21"/>
  <c r="AB28" i="21"/>
  <c r="Z28" i="21"/>
  <c r="N28" i="21"/>
  <c r="T28" i="21"/>
  <c r="R28" i="21"/>
  <c r="O28" i="21"/>
  <c r="AT29" i="21"/>
  <c r="AT30" i="21" s="1"/>
  <c r="P28" i="21"/>
  <c r="S28" i="21"/>
  <c r="AA28" i="21"/>
  <c r="Q28" i="21"/>
  <c r="AA27" i="21"/>
  <c r="AB27" i="21"/>
  <c r="K3" i="5"/>
  <c r="Z29" i="21" l="1"/>
  <c r="X29" i="21"/>
  <c r="Q29" i="21"/>
  <c r="V29" i="21"/>
  <c r="O29" i="21"/>
  <c r="W29" i="21"/>
  <c r="N29" i="21"/>
  <c r="R29" i="21"/>
  <c r="S29" i="21"/>
  <c r="U29" i="21"/>
  <c r="P29" i="21"/>
  <c r="T29" i="21"/>
  <c r="AB29" i="21"/>
  <c r="AA29" i="21"/>
  <c r="AC29" i="21"/>
  <c r="Y29" i="21"/>
  <c r="AG28" i="21"/>
  <c r="AB26" i="21"/>
  <c r="AA26" i="21"/>
  <c r="R26" i="21"/>
  <c r="B1" i="12"/>
  <c r="B1" i="5"/>
  <c r="B1" i="6"/>
  <c r="B1" i="7"/>
  <c r="A1" i="8"/>
  <c r="B1" i="14"/>
  <c r="A1" i="9"/>
  <c r="B1" i="10"/>
  <c r="B1" i="11"/>
  <c r="B1" i="13"/>
  <c r="T30" i="21" l="1"/>
  <c r="Z30" i="21"/>
  <c r="Y30" i="21"/>
  <c r="AB30" i="21"/>
  <c r="X30" i="21"/>
  <c r="U30" i="21"/>
  <c r="V30" i="21"/>
  <c r="AA30" i="21"/>
  <c r="W30" i="21"/>
  <c r="R30" i="21"/>
  <c r="S30" i="21"/>
  <c r="AG26" i="21"/>
  <c r="AI26" i="21" s="1"/>
  <c r="AG25" i="21"/>
  <c r="V27" i="21"/>
  <c r="U27" i="21"/>
  <c r="X27" i="21"/>
  <c r="T27" i="21"/>
  <c r="S27" i="21"/>
  <c r="Z27" i="21"/>
  <c r="R27" i="21"/>
  <c r="Y27" i="21"/>
  <c r="W27" i="21"/>
  <c r="N19" i="10"/>
  <c r="Q19" i="10" s="1"/>
  <c r="AG27" i="21" l="1"/>
  <c r="V13" i="12"/>
  <c r="W13" i="12" s="1"/>
  <c r="V12" i="12"/>
  <c r="N18" i="10"/>
  <c r="Q18" i="10" s="1"/>
  <c r="N17" i="10"/>
  <c r="Q17" i="10" s="1"/>
  <c r="N16" i="10"/>
  <c r="Q16" i="10" s="1"/>
  <c r="N15" i="10"/>
  <c r="Q15" i="10" s="1"/>
  <c r="N14" i="10"/>
  <c r="Q14" i="10" s="1"/>
  <c r="N13" i="10"/>
  <c r="Q13" i="10" s="1"/>
  <c r="N12" i="10"/>
  <c r="Q12" i="10" s="1"/>
  <c r="AI27" i="21" l="1"/>
  <c r="AI28" i="21"/>
  <c r="Q20" i="10"/>
  <c r="S6" i="10" s="1"/>
  <c r="N20" i="10"/>
  <c r="S5" i="10" s="1"/>
  <c r="V15" i="12"/>
  <c r="X19" i="11"/>
  <c r="S5" i="11" s="1"/>
  <c r="Q4" i="7" s="1"/>
  <c r="W12" i="12"/>
  <c r="W15" i="12" s="1"/>
  <c r="W13" i="14"/>
  <c r="U6" i="14" s="1"/>
  <c r="Y19" i="11"/>
  <c r="S6" i="11" s="1"/>
  <c r="Q3" i="7" s="1"/>
  <c r="T13" i="14"/>
  <c r="U5" i="14" s="1"/>
  <c r="AG29" i="21" l="1"/>
  <c r="AD4" i="5"/>
  <c r="AA3" i="6"/>
  <c r="O46" i="21" l="1"/>
  <c r="AI29" i="21"/>
  <c r="AG30" i="21"/>
  <c r="AI30" i="21" s="1"/>
  <c r="U9" i="12"/>
  <c r="U7" i="12"/>
  <c r="N5" i="12"/>
  <c r="J8" i="12"/>
  <c r="G8" i="12"/>
  <c r="G5" i="12"/>
  <c r="G6" i="12"/>
  <c r="G7" i="12"/>
  <c r="G4" i="12"/>
  <c r="C5" i="12"/>
  <c r="C4" i="12"/>
  <c r="R9" i="13"/>
  <c r="R8" i="13"/>
  <c r="M5" i="13"/>
  <c r="K8" i="13"/>
  <c r="G8" i="13"/>
  <c r="G5" i="13"/>
  <c r="G6" i="13"/>
  <c r="G7" i="13"/>
  <c r="G4" i="13"/>
  <c r="C5" i="13"/>
  <c r="C4" i="13"/>
  <c r="R9" i="11"/>
  <c r="R8" i="11"/>
  <c r="M5" i="11"/>
  <c r="K8" i="11"/>
  <c r="G8" i="11"/>
  <c r="G5" i="11"/>
  <c r="G6" i="11"/>
  <c r="G7" i="11"/>
  <c r="G4" i="11"/>
  <c r="C5" i="11"/>
  <c r="C4" i="11"/>
  <c r="Q9" i="10"/>
  <c r="Q8" i="10"/>
  <c r="M5" i="10"/>
  <c r="J8" i="10"/>
  <c r="G8" i="10"/>
  <c r="G5" i="10"/>
  <c r="G6" i="10"/>
  <c r="G7" i="10"/>
  <c r="G4" i="10"/>
  <c r="C5" i="10"/>
  <c r="C4" i="10"/>
  <c r="P8" i="9"/>
  <c r="P7" i="9"/>
  <c r="L4" i="9"/>
  <c r="J7" i="9"/>
  <c r="F7" i="9"/>
  <c r="F4" i="9"/>
  <c r="F5" i="9"/>
  <c r="F6" i="9"/>
  <c r="F3" i="9"/>
  <c r="B4" i="9"/>
  <c r="B3" i="9"/>
  <c r="U9" i="14"/>
  <c r="U8" i="14"/>
  <c r="N5" i="14"/>
  <c r="K8" i="14"/>
  <c r="G8" i="14"/>
  <c r="G5" i="14"/>
  <c r="G6" i="14"/>
  <c r="G7" i="14"/>
  <c r="G4" i="14"/>
  <c r="C5" i="14"/>
  <c r="C4" i="14"/>
  <c r="R9" i="8"/>
  <c r="R8" i="8"/>
  <c r="L5" i="8"/>
  <c r="J8" i="8"/>
  <c r="G8" i="8"/>
  <c r="G5" i="8"/>
  <c r="G6" i="8"/>
  <c r="G7" i="8"/>
  <c r="G4" i="8"/>
  <c r="C5" i="8"/>
  <c r="C4" i="8"/>
  <c r="Q9" i="7"/>
  <c r="Q7" i="7"/>
  <c r="L5" i="7"/>
  <c r="J8" i="7"/>
  <c r="G8" i="7"/>
  <c r="G5" i="7"/>
  <c r="G6" i="7"/>
  <c r="G7" i="7"/>
  <c r="G4" i="7"/>
  <c r="C5" i="7"/>
  <c r="C4" i="7"/>
  <c r="AD46" i="21" l="1"/>
  <c r="M46" i="21"/>
  <c r="AC46" i="21"/>
  <c r="L46" i="21"/>
  <c r="X33" i="21"/>
  <c r="Z33" i="21"/>
  <c r="Y33" i="21"/>
  <c r="AA33" i="21"/>
  <c r="V33" i="21"/>
  <c r="W33" i="21"/>
  <c r="AB33" i="21"/>
  <c r="AE11" i="5"/>
  <c r="AE10" i="5"/>
  <c r="AG33" i="21" l="1"/>
  <c r="AC34" i="21"/>
  <c r="N34" i="21"/>
  <c r="O34" i="21"/>
  <c r="P34" i="21"/>
  <c r="Q34" i="21"/>
  <c r="P47" i="21"/>
  <c r="X47" i="21"/>
  <c r="Q47" i="21"/>
  <c r="Y47" i="21"/>
  <c r="R47" i="21"/>
  <c r="Z47" i="21"/>
  <c r="T47" i="21"/>
  <c r="V47" i="21"/>
  <c r="W47" i="21"/>
  <c r="S47" i="21"/>
  <c r="AA47" i="21"/>
  <c r="AB47" i="21"/>
  <c r="U47" i="21"/>
  <c r="N47" i="21"/>
  <c r="O47" i="21"/>
  <c r="Y34" i="21"/>
  <c r="S34" i="21"/>
  <c r="X34" i="21"/>
  <c r="V34" i="21"/>
  <c r="U34" i="21"/>
  <c r="R34" i="21"/>
  <c r="W34" i="21"/>
  <c r="AB34" i="21"/>
  <c r="AA34" i="21"/>
  <c r="Z34" i="21"/>
  <c r="T34" i="21"/>
  <c r="N45" i="21"/>
  <c r="Z45" i="21"/>
  <c r="T45" i="21"/>
  <c r="Q45" i="21"/>
  <c r="AA45" i="21"/>
  <c r="S45" i="21"/>
  <c r="W45" i="21"/>
  <c r="O45" i="21"/>
  <c r="U45" i="21"/>
  <c r="AB45" i="21"/>
  <c r="X45" i="21"/>
  <c r="P45" i="21"/>
  <c r="Y45" i="21"/>
  <c r="V45" i="21"/>
  <c r="R45" i="21"/>
  <c r="V8" i="5"/>
  <c r="Q8" i="5"/>
  <c r="Q5" i="5"/>
  <c r="Q6" i="5"/>
  <c r="Q7" i="5"/>
  <c r="Q4" i="5"/>
  <c r="D5" i="5"/>
  <c r="D4" i="5"/>
  <c r="AB10" i="6"/>
  <c r="AB9" i="6"/>
  <c r="V7" i="6"/>
  <c r="Q7" i="6"/>
  <c r="Q6" i="6"/>
  <c r="Q4" i="6"/>
  <c r="Q5" i="6"/>
  <c r="Q3" i="6"/>
  <c r="D4" i="6"/>
  <c r="D3" i="6"/>
  <c r="O48" i="21" l="1"/>
  <c r="W48" i="21"/>
  <c r="P48" i="21"/>
  <c r="X48" i="21"/>
  <c r="Q48" i="21"/>
  <c r="Y48" i="21"/>
  <c r="AA48" i="21"/>
  <c r="AC48" i="21"/>
  <c r="R48" i="21"/>
  <c r="Z48" i="21"/>
  <c r="S48" i="21"/>
  <c r="M48" i="21"/>
  <c r="AD48" i="21"/>
  <c r="V48" i="21"/>
  <c r="L48" i="21"/>
  <c r="T48" i="21"/>
  <c r="AB48" i="21"/>
  <c r="U48" i="21"/>
  <c r="N48" i="21"/>
  <c r="Q35" i="21"/>
  <c r="AA35" i="21"/>
  <c r="O35" i="21"/>
  <c r="P35" i="21"/>
  <c r="AB35" i="21"/>
  <c r="AC35" i="21"/>
  <c r="N35" i="21"/>
  <c r="S35" i="21"/>
  <c r="V35" i="21"/>
  <c r="T35" i="21"/>
  <c r="R35" i="21"/>
  <c r="U35" i="21"/>
  <c r="X35" i="21"/>
  <c r="Z35" i="21"/>
  <c r="Y35" i="21"/>
  <c r="W35" i="21"/>
  <c r="AI33" i="21"/>
  <c r="Z49" i="21"/>
  <c r="AA49" i="21"/>
  <c r="AG34" i="21"/>
  <c r="AI34" i="21" s="1"/>
  <c r="A27" i="21"/>
  <c r="AG45" i="21"/>
  <c r="N46" i="21"/>
  <c r="U46" i="21"/>
  <c r="P46" i="21"/>
  <c r="Q46" i="21"/>
  <c r="Y46" i="21"/>
  <c r="R46" i="21"/>
  <c r="AA46" i="21"/>
  <c r="V46" i="21"/>
  <c r="Z46" i="21"/>
  <c r="X46" i="21"/>
  <c r="T46" i="21"/>
  <c r="AB46" i="21"/>
  <c r="S46" i="21"/>
  <c r="W46" i="21"/>
  <c r="C6" i="14"/>
  <c r="B5" i="9"/>
  <c r="C6" i="10"/>
  <c r="C6" i="12"/>
  <c r="C6" i="13"/>
  <c r="C6" i="7"/>
  <c r="C6" i="8"/>
  <c r="C6" i="11"/>
  <c r="D5" i="6"/>
  <c r="D6" i="5"/>
  <c r="AG35" i="21" l="1"/>
  <c r="A35" i="21" s="1"/>
  <c r="Z50" i="21"/>
  <c r="AA50" i="21"/>
  <c r="AI45" i="21"/>
  <c r="AG46" i="21"/>
  <c r="AI35" i="21" l="1"/>
  <c r="A36" i="21" s="1"/>
  <c r="AG51" i="21"/>
  <c r="AI51" i="21" s="1"/>
  <c r="N52" i="21"/>
  <c r="U52" i="21"/>
  <c r="M52" i="21"/>
  <c r="T52" i="21"/>
  <c r="L52" i="21"/>
  <c r="R52" i="21"/>
  <c r="AA52" i="21"/>
  <c r="S52" i="21"/>
  <c r="Z52" i="21"/>
  <c r="Y52" i="21"/>
  <c r="Q52" i="21"/>
  <c r="O52" i="21"/>
  <c r="X52" i="21"/>
  <c r="P52" i="21"/>
  <c r="W52" i="21"/>
  <c r="Z53" i="21"/>
  <c r="AG47" i="21"/>
  <c r="AI46" i="21"/>
  <c r="AI47" i="21" l="1"/>
  <c r="AG52" i="21"/>
  <c r="AI52" i="21" s="1"/>
  <c r="Z54" i="21"/>
  <c r="AT63" i="21"/>
  <c r="AT64" i="21" s="1"/>
  <c r="AT65" i="21" s="1"/>
  <c r="M49" i="21"/>
  <c r="L49" i="21"/>
  <c r="AG48" i="21"/>
  <c r="O49" i="21"/>
  <c r="Q49" i="21"/>
  <c r="U49" i="21"/>
  <c r="T49" i="21"/>
  <c r="R49" i="21"/>
  <c r="W49" i="21"/>
  <c r="S49" i="21"/>
  <c r="V49" i="21"/>
  <c r="Y49" i="21"/>
  <c r="P49" i="21"/>
  <c r="X49" i="21"/>
  <c r="N49" i="21"/>
  <c r="AT66" i="21" l="1"/>
  <c r="L65" i="21"/>
  <c r="O65" i="21"/>
  <c r="M65" i="21"/>
  <c r="N65" i="21"/>
  <c r="P67" i="21"/>
  <c r="R67" i="21"/>
  <c r="T67" i="21"/>
  <c r="S67" i="21"/>
  <c r="V67" i="21"/>
  <c r="X67" i="21"/>
  <c r="Z67" i="21"/>
  <c r="Q67" i="21"/>
  <c r="W67" i="21"/>
  <c r="U67" i="21"/>
  <c r="M50" i="21"/>
  <c r="L50" i="21"/>
  <c r="O50" i="21"/>
  <c r="P50" i="21"/>
  <c r="T50" i="21"/>
  <c r="X50" i="21"/>
  <c r="R50" i="21"/>
  <c r="W50" i="21"/>
  <c r="Y50" i="21"/>
  <c r="Q50" i="21"/>
  <c r="V50" i="21"/>
  <c r="S50" i="21"/>
  <c r="U50" i="21"/>
  <c r="N50" i="21"/>
  <c r="AG49" i="21"/>
  <c r="AI49" i="21" s="1"/>
  <c r="AI48" i="21"/>
  <c r="O66" i="21" l="1"/>
  <c r="P66" i="21"/>
  <c r="N66" i="21"/>
  <c r="Q66" i="21"/>
  <c r="M66" i="21"/>
  <c r="L66" i="21"/>
  <c r="AG67" i="21"/>
  <c r="T68" i="21"/>
  <c r="W68" i="21"/>
  <c r="S68" i="21"/>
  <c r="V68" i="21"/>
  <c r="X68" i="21"/>
  <c r="R68" i="21"/>
  <c r="U68" i="21"/>
  <c r="M53" i="21"/>
  <c r="L53" i="21"/>
  <c r="AG50" i="21"/>
  <c r="R53" i="21"/>
  <c r="N53" i="21"/>
  <c r="X53" i="21"/>
  <c r="T53" i="21"/>
  <c r="V53" i="21"/>
  <c r="Q53" i="21"/>
  <c r="O53" i="21"/>
  <c r="Y53" i="21"/>
  <c r="U53" i="21"/>
  <c r="AA53" i="21"/>
  <c r="P53" i="21"/>
  <c r="W53" i="21"/>
  <c r="S53" i="21"/>
  <c r="AA57" i="6"/>
  <c r="AC5" i="6" s="1"/>
  <c r="AG68" i="21" l="1"/>
  <c r="AI68" i="21" s="1"/>
  <c r="N71" i="21"/>
  <c r="P71" i="21"/>
  <c r="AC71" i="21"/>
  <c r="Q71" i="21"/>
  <c r="O71" i="21"/>
  <c r="AI67" i="21"/>
  <c r="M54" i="21"/>
  <c r="L54" i="21"/>
  <c r="AG53" i="21"/>
  <c r="U54" i="21"/>
  <c r="Q54" i="21"/>
  <c r="V54" i="21"/>
  <c r="X54" i="21"/>
  <c r="S54" i="21"/>
  <c r="N54" i="21"/>
  <c r="W54" i="21"/>
  <c r="R54" i="21"/>
  <c r="T54" i="21"/>
  <c r="AA54" i="21"/>
  <c r="O54" i="21"/>
  <c r="P54" i="21"/>
  <c r="Y54" i="21"/>
  <c r="AI50" i="21"/>
  <c r="AC57" i="6"/>
  <c r="AC6" i="6" s="1"/>
  <c r="A69" i="21" l="1"/>
  <c r="A70" i="21"/>
  <c r="AI53" i="21"/>
  <c r="Q72" i="21"/>
  <c r="P72" i="21"/>
  <c r="AG54" i="21"/>
  <c r="A47" i="21" s="1"/>
  <c r="M73" i="21" l="1"/>
  <c r="P73" i="21"/>
  <c r="Q73" i="21"/>
  <c r="L73" i="21"/>
  <c r="O73" i="21"/>
  <c r="N73" i="21"/>
  <c r="AI54" i="21"/>
  <c r="A48" i="21" s="1"/>
  <c r="N74" i="21" l="1"/>
  <c r="P74" i="21"/>
  <c r="Q74" i="21"/>
  <c r="O74" i="21"/>
  <c r="AB63" i="21"/>
  <c r="T63" i="21"/>
  <c r="X63" i="21"/>
  <c r="Y63" i="21"/>
  <c r="P63" i="21"/>
  <c r="AA63" i="21"/>
  <c r="W63" i="21"/>
  <c r="S63" i="21"/>
  <c r="V63" i="21"/>
  <c r="Z63" i="21"/>
  <c r="U63" i="21"/>
  <c r="Q63" i="21"/>
  <c r="R63" i="21"/>
  <c r="AF6" i="5"/>
  <c r="R79" i="21" l="1"/>
  <c r="T79" i="21"/>
  <c r="V79" i="21"/>
  <c r="X79" i="21"/>
  <c r="Z79" i="21"/>
  <c r="S79" i="21"/>
  <c r="Y79" i="21"/>
  <c r="W79" i="21"/>
  <c r="U79" i="21"/>
  <c r="AA79" i="21"/>
  <c r="AB79" i="21"/>
  <c r="AG63" i="21"/>
  <c r="S64" i="21"/>
  <c r="X64" i="21"/>
  <c r="Z64" i="21"/>
  <c r="W64" i="21"/>
  <c r="R64" i="21"/>
  <c r="V64" i="21"/>
  <c r="Y64" i="21"/>
  <c r="AB64" i="21"/>
  <c r="U64" i="21"/>
  <c r="AA64" i="21"/>
  <c r="T64" i="21"/>
  <c r="W80" i="21" l="1"/>
  <c r="R80" i="21"/>
  <c r="Z80" i="21"/>
  <c r="X80" i="21"/>
  <c r="S80" i="21"/>
  <c r="U80" i="21"/>
  <c r="AB80" i="21"/>
  <c r="V80" i="21"/>
  <c r="Y80" i="21"/>
  <c r="T80" i="21"/>
  <c r="AA80" i="21"/>
  <c r="AG79" i="21"/>
  <c r="AI79" i="21" s="1"/>
  <c r="AG64" i="21"/>
  <c r="AI64" i="21" s="1"/>
  <c r="V65" i="21"/>
  <c r="Z65" i="21"/>
  <c r="W65" i="21"/>
  <c r="R65" i="21"/>
  <c r="U65" i="21"/>
  <c r="T65" i="21"/>
  <c r="Q65" i="21"/>
  <c r="S65" i="21"/>
  <c r="X65" i="21"/>
  <c r="P65" i="21"/>
  <c r="AI63" i="21"/>
  <c r="A58" i="21" l="1"/>
  <c r="A57" i="21"/>
  <c r="X83" i="21"/>
  <c r="AG80" i="21"/>
  <c r="AI80" i="21" s="1"/>
  <c r="AG65" i="21"/>
  <c r="T66" i="21"/>
  <c r="W66" i="21"/>
  <c r="V66" i="21"/>
  <c r="Z66" i="21"/>
  <c r="S66" i="21"/>
  <c r="X66" i="21"/>
  <c r="R66" i="21"/>
  <c r="U66" i="21"/>
  <c r="AF7" i="5"/>
  <c r="X84" i="21" l="1"/>
  <c r="AG66" i="21"/>
  <c r="AI65" i="21"/>
  <c r="AI66" i="21" l="1"/>
  <c r="X85" i="21"/>
  <c r="Z85" i="21"/>
  <c r="AA85" i="21"/>
  <c r="Y85" i="21"/>
  <c r="AB85" i="21"/>
  <c r="W85" i="21"/>
  <c r="AA86" i="21" l="1"/>
  <c r="W86" i="21"/>
  <c r="X86" i="21"/>
  <c r="Y86" i="21"/>
  <c r="AB86" i="21"/>
  <c r="Z86" i="21"/>
  <c r="N87" i="21" l="1"/>
  <c r="L87" i="21"/>
  <c r="M87" i="21"/>
  <c r="O87" i="21"/>
  <c r="Q87" i="21"/>
  <c r="P87" i="21"/>
  <c r="AC88" i="21" l="1"/>
  <c r="O88" i="21"/>
  <c r="P88" i="21"/>
  <c r="Q88" i="21"/>
  <c r="N88" i="21"/>
  <c r="O89" i="21" l="1"/>
  <c r="AC89" i="21"/>
  <c r="P89" i="21"/>
  <c r="Q89" i="21"/>
  <c r="L89" i="21"/>
  <c r="M89" i="21"/>
  <c r="N89" i="21"/>
  <c r="A66" i="21"/>
  <c r="A65" i="21"/>
  <c r="AC90" i="21" l="1"/>
  <c r="Q90" i="21"/>
  <c r="O90" i="21"/>
  <c r="N90" i="21"/>
  <c r="P90" i="21"/>
  <c r="S71" i="21"/>
  <c r="R71" i="21"/>
  <c r="T71" i="21"/>
  <c r="Y71" i="21"/>
  <c r="Z71" i="21"/>
  <c r="X71" i="21"/>
  <c r="V71" i="21"/>
  <c r="U71" i="21"/>
  <c r="AB71" i="21"/>
  <c r="AA71" i="21"/>
  <c r="W71" i="21"/>
  <c r="N91" i="21" l="1"/>
  <c r="Q91" i="21"/>
  <c r="AC91" i="21"/>
  <c r="P91" i="21"/>
  <c r="L91" i="21"/>
  <c r="O91" i="21"/>
  <c r="M91" i="21"/>
  <c r="AG71" i="21"/>
  <c r="Z72" i="21"/>
  <c r="V72" i="21"/>
  <c r="S72" i="21"/>
  <c r="T72" i="21"/>
  <c r="W72" i="21"/>
  <c r="X72" i="21"/>
  <c r="R72" i="21"/>
  <c r="U72" i="21"/>
  <c r="AA72" i="21"/>
  <c r="Y72" i="21"/>
  <c r="AC92" i="21" l="1"/>
  <c r="N92" i="21"/>
  <c r="Q92" i="21"/>
  <c r="O92" i="21"/>
  <c r="P92" i="21"/>
  <c r="U73" i="21"/>
  <c r="R73" i="21"/>
  <c r="S73" i="21"/>
  <c r="V73" i="21"/>
  <c r="X73" i="21"/>
  <c r="T73" i="21"/>
  <c r="AG72" i="21"/>
  <c r="AI72" i="21" s="1"/>
  <c r="AI71" i="21"/>
  <c r="AC93" i="21" l="1"/>
  <c r="O93" i="21"/>
  <c r="P93" i="21"/>
  <c r="L93" i="21"/>
  <c r="Q93" i="21"/>
  <c r="M93" i="21"/>
  <c r="N93" i="21"/>
  <c r="AG73" i="21"/>
  <c r="T74" i="21"/>
  <c r="R74" i="21"/>
  <c r="V74" i="21"/>
  <c r="U74" i="21"/>
  <c r="S74" i="21"/>
  <c r="N94" i="21" l="1"/>
  <c r="AC94" i="21"/>
  <c r="O94" i="21"/>
  <c r="P94" i="21"/>
  <c r="Q94" i="21"/>
  <c r="AG74" i="21"/>
  <c r="AI74" i="21" s="1"/>
  <c r="AB75" i="21"/>
  <c r="Z75" i="21"/>
  <c r="W75" i="21"/>
  <c r="V75" i="21"/>
  <c r="S75" i="21"/>
  <c r="Y75" i="21"/>
  <c r="AA75" i="21"/>
  <c r="T75" i="21"/>
  <c r="X75" i="21"/>
  <c r="R75" i="21"/>
  <c r="U75" i="21"/>
  <c r="AI73" i="21"/>
  <c r="AC95" i="21" l="1"/>
  <c r="P95" i="21"/>
  <c r="U95" i="21"/>
  <c r="W95" i="21"/>
  <c r="O95" i="21"/>
  <c r="Y95" i="21"/>
  <c r="X95" i="21"/>
  <c r="Q95" i="21"/>
  <c r="T95" i="21"/>
  <c r="V95" i="21"/>
  <c r="N95" i="21"/>
  <c r="R95" i="21"/>
  <c r="S95" i="21"/>
  <c r="A74" i="21"/>
  <c r="A73" i="21"/>
  <c r="AG75" i="21"/>
  <c r="AB76" i="21"/>
  <c r="Y76" i="21"/>
  <c r="Z76" i="21"/>
  <c r="T76" i="21"/>
  <c r="R76" i="21"/>
  <c r="S76" i="21"/>
  <c r="AA76" i="21"/>
  <c r="V76" i="21"/>
  <c r="U76" i="21"/>
  <c r="W76" i="21"/>
  <c r="X76" i="21"/>
  <c r="W96" i="21" l="1"/>
  <c r="X96" i="21"/>
  <c r="S96" i="21"/>
  <c r="Q96" i="21"/>
  <c r="P96" i="21"/>
  <c r="Y96" i="21"/>
  <c r="V96" i="21"/>
  <c r="R96" i="21"/>
  <c r="T96" i="21"/>
  <c r="U96" i="21"/>
  <c r="U77" i="21"/>
  <c r="T77" i="21"/>
  <c r="Z77" i="21"/>
  <c r="AA77" i="21"/>
  <c r="S77" i="21"/>
  <c r="Y77" i="21"/>
  <c r="R77" i="21"/>
  <c r="W77" i="21"/>
  <c r="V77" i="21"/>
  <c r="AB77" i="21"/>
  <c r="X77" i="21"/>
  <c r="AG76" i="21"/>
  <c r="AI76" i="21" s="1"/>
  <c r="AI75" i="21"/>
  <c r="AG77" i="21" l="1"/>
  <c r="U78" i="21"/>
  <c r="X78" i="21"/>
  <c r="S78" i="21"/>
  <c r="Z78" i="21"/>
  <c r="T78" i="21"/>
  <c r="AA78" i="21"/>
  <c r="W78" i="21"/>
  <c r="V78" i="21"/>
  <c r="Y78" i="21"/>
  <c r="AB78" i="21"/>
  <c r="R78" i="21"/>
  <c r="AG78" i="21" l="1"/>
  <c r="AI78" i="21" s="1"/>
  <c r="AI77" i="21"/>
  <c r="Y83" i="21" l="1"/>
  <c r="T83" i="21"/>
  <c r="AB83" i="21"/>
  <c r="U83" i="21"/>
  <c r="Z83" i="21"/>
  <c r="R83" i="21"/>
  <c r="V83" i="21"/>
  <c r="AA83" i="21"/>
  <c r="S83" i="21"/>
  <c r="W83" i="21"/>
  <c r="A78" i="21" l="1"/>
  <c r="A77" i="21"/>
  <c r="AG83" i="21"/>
  <c r="AA84" i="21"/>
  <c r="Y84" i="21"/>
  <c r="T84" i="21"/>
  <c r="W84" i="21"/>
  <c r="AB84" i="21"/>
  <c r="R84" i="21"/>
  <c r="V84" i="21"/>
  <c r="Z84" i="21"/>
  <c r="U84" i="21"/>
  <c r="S84" i="21"/>
  <c r="AG84" i="21" l="1"/>
  <c r="AI84" i="21" s="1"/>
  <c r="V85" i="21"/>
  <c r="S85" i="21"/>
  <c r="U85" i="21"/>
  <c r="T85" i="21"/>
  <c r="R85" i="21"/>
  <c r="AI83" i="21"/>
  <c r="AG85" i="21" l="1"/>
  <c r="U86" i="21"/>
  <c r="S86" i="21"/>
  <c r="T86" i="21"/>
  <c r="R86" i="21"/>
  <c r="V86" i="21"/>
  <c r="AG86" i="21" l="1"/>
  <c r="AI86" i="21" s="1"/>
  <c r="AC87" i="21"/>
  <c r="Z87" i="21"/>
  <c r="U87" i="21"/>
  <c r="AB87" i="21"/>
  <c r="X87" i="21"/>
  <c r="W87" i="21"/>
  <c r="Y87" i="21"/>
  <c r="T87" i="21"/>
  <c r="R87" i="21"/>
  <c r="V87" i="21"/>
  <c r="AA87" i="21"/>
  <c r="S87" i="21"/>
  <c r="AI85" i="21"/>
  <c r="A86" i="21" l="1"/>
  <c r="A85" i="21"/>
  <c r="AB88" i="21"/>
  <c r="U88" i="21"/>
  <c r="V88" i="21"/>
  <c r="Z88" i="21"/>
  <c r="X88" i="21"/>
  <c r="S88" i="21"/>
  <c r="W88" i="21"/>
  <c r="AA88" i="21"/>
  <c r="R88" i="21"/>
  <c r="T88" i="21"/>
  <c r="Y88" i="21"/>
  <c r="AG87" i="21"/>
  <c r="AI87" i="21" l="1"/>
  <c r="AG88" i="21"/>
  <c r="AI88" i="21" s="1"/>
  <c r="Y89" i="21"/>
  <c r="AA89" i="21"/>
  <c r="R89" i="21"/>
  <c r="AB89" i="21"/>
  <c r="Z89" i="21"/>
  <c r="W89" i="21"/>
  <c r="U89" i="21"/>
  <c r="V89" i="21"/>
  <c r="X89" i="21"/>
  <c r="T89" i="21"/>
  <c r="S89" i="21"/>
  <c r="AG89" i="21" l="1"/>
  <c r="AI89" i="21" s="1"/>
  <c r="R90" i="21"/>
  <c r="W90" i="21"/>
  <c r="V90" i="21"/>
  <c r="Y90" i="21"/>
  <c r="X90" i="21"/>
  <c r="U90" i="21"/>
  <c r="AA90" i="21"/>
  <c r="S90" i="21"/>
  <c r="AB90" i="21"/>
  <c r="Z90" i="21"/>
  <c r="T90" i="21"/>
  <c r="AG90" i="21" l="1"/>
  <c r="U91" i="21"/>
  <c r="V91" i="21"/>
  <c r="Y91" i="21"/>
  <c r="W91" i="21"/>
  <c r="R91" i="21"/>
  <c r="Z91" i="21"/>
  <c r="AA91" i="21"/>
  <c r="S91" i="21"/>
  <c r="AB91" i="21"/>
  <c r="X91" i="21"/>
  <c r="T91" i="21"/>
  <c r="AB92" i="21" l="1"/>
  <c r="R92" i="21"/>
  <c r="Z92" i="21"/>
  <c r="U92" i="21"/>
  <c r="T92" i="21"/>
  <c r="S92" i="21"/>
  <c r="AA92" i="21"/>
  <c r="W92" i="21"/>
  <c r="V92" i="21"/>
  <c r="Y92" i="21"/>
  <c r="X92" i="21"/>
  <c r="AG91" i="21"/>
  <c r="AI91" i="21" s="1"/>
  <c r="AI90" i="21"/>
  <c r="AG92" i="21" l="1"/>
  <c r="AB93" i="21"/>
  <c r="W93" i="21"/>
  <c r="AA93" i="21"/>
  <c r="X93" i="21"/>
  <c r="U93" i="21"/>
  <c r="T93" i="21"/>
  <c r="S93" i="21"/>
  <c r="Y93" i="21"/>
  <c r="Z93" i="21"/>
  <c r="R93" i="21"/>
  <c r="V93" i="21"/>
  <c r="R94" i="21" l="1"/>
  <c r="X94" i="21"/>
  <c r="W94" i="21"/>
  <c r="AA94" i="21"/>
  <c r="V94" i="21"/>
  <c r="Y94" i="21"/>
  <c r="S94" i="21"/>
  <c r="AB94" i="21"/>
  <c r="U94" i="21"/>
  <c r="T94" i="21"/>
  <c r="Z94" i="21"/>
  <c r="AG93" i="21"/>
  <c r="AI93" i="21" s="1"/>
  <c r="AI92" i="21"/>
  <c r="AG94" i="21" l="1"/>
  <c r="A89" i="21" s="1"/>
  <c r="AI94" i="21" l="1"/>
  <c r="AA95" i="21" l="1"/>
  <c r="AB95" i="21"/>
  <c r="Z95" i="21"/>
  <c r="A90" i="21" l="1"/>
  <c r="AG95" i="21"/>
  <c r="Z96" i="21"/>
  <c r="AB96" i="21"/>
  <c r="AA96" i="21"/>
  <c r="AG96" i="21" l="1"/>
  <c r="AI96" i="21" s="1"/>
  <c r="AI95" i="21"/>
  <c r="A97" i="21" l="1"/>
  <c r="AG5" i="21" s="1"/>
  <c r="A98" i="21"/>
  <c r="AG3" i="21" l="1"/>
  <c r="AI25" i="21"/>
  <c r="A28" i="21" l="1"/>
  <c r="AG6" i="21" l="1"/>
  <c r="AG4" i="21" s="1"/>
  <c r="AH3" i="21" s="1"/>
</calcChain>
</file>

<file path=xl/sharedStrings.xml><?xml version="1.0" encoding="utf-8"?>
<sst xmlns="http://schemas.openxmlformats.org/spreadsheetml/2006/main" count="1362" uniqueCount="320">
  <si>
    <t>REVISION DATE:</t>
  </si>
  <si>
    <t xml:space="preserve">Order Grand Total </t>
  </si>
  <si>
    <t>DOMESTIC-A</t>
  </si>
  <si>
    <t>Select 
Dropdown</t>
  </si>
  <si>
    <t>GRAND TOTAL FOOTWEAR</t>
  </si>
  <si>
    <t>DATE:</t>
  </si>
  <si>
    <t>ACCOUNT #</t>
  </si>
  <si>
    <t>NO</t>
  </si>
  <si>
    <t>GRAND TOTAL  FOOTWEAR $</t>
  </si>
  <si>
    <t>RWBR</t>
  </si>
  <si>
    <t>M</t>
  </si>
  <si>
    <t>Please enter last name only -------&gt;</t>
  </si>
  <si>
    <t>SALES REP:</t>
  </si>
  <si>
    <t>STORE NAME:</t>
  </si>
  <si>
    <t xml:space="preserve">change to YES for address change  </t>
  </si>
  <si>
    <t>NEW SHOES TOTAL</t>
  </si>
  <si>
    <t>WORX</t>
  </si>
  <si>
    <t>W</t>
  </si>
  <si>
    <t>P.O. #:</t>
  </si>
  <si>
    <t xml:space="preserve">ADDRESS: </t>
  </si>
  <si>
    <t>NEW SHOES TOTAL $</t>
  </si>
  <si>
    <t>A</t>
  </si>
  <si>
    <t>Irish Setter</t>
  </si>
  <si>
    <t>PO ENTRY:</t>
  </si>
  <si>
    <t>CITY:</t>
  </si>
  <si>
    <t>TERMS:</t>
  </si>
  <si>
    <t>B</t>
  </si>
  <si>
    <t>YES</t>
  </si>
  <si>
    <t>Rubber</t>
  </si>
  <si>
    <t>Default PO</t>
  </si>
  <si>
    <t xml:space="preserve">STATE: </t>
  </si>
  <si>
    <t>ZIP CODE:</t>
  </si>
  <si>
    <t>C</t>
  </si>
  <si>
    <t>ALL HIGHLIGHTED FIELDS ARE REQUIRED FIELDS</t>
  </si>
  <si>
    <t>OUR REFERENCE:</t>
  </si>
  <si>
    <t>D</t>
  </si>
  <si>
    <t xml:space="preserve">Customer Order Number (Internal use only) </t>
  </si>
  <si>
    <t>Package</t>
  </si>
  <si>
    <t>CO TYPE</t>
  </si>
  <si>
    <t>Style</t>
  </si>
  <si>
    <t>Width</t>
  </si>
  <si>
    <t>1</t>
  </si>
  <si>
    <t>2</t>
  </si>
  <si>
    <t>3</t>
  </si>
  <si>
    <t>4</t>
  </si>
  <si>
    <t>4.5</t>
  </si>
  <si>
    <t>5</t>
  </si>
  <si>
    <t>5.5</t>
  </si>
  <si>
    <t>6</t>
  </si>
  <si>
    <t>6.5</t>
  </si>
  <si>
    <t>7</t>
  </si>
  <si>
    <t>7.5</t>
  </si>
  <si>
    <t>8</t>
  </si>
  <si>
    <t>8.5</t>
  </si>
  <si>
    <t>9</t>
  </si>
  <si>
    <t>9.5</t>
  </si>
  <si>
    <t>10</t>
  </si>
  <si>
    <t>10.5</t>
  </si>
  <si>
    <t>11</t>
  </si>
  <si>
    <t>11.5</t>
  </si>
  <si>
    <t>12</t>
  </si>
  <si>
    <t>13</t>
  </si>
  <si>
    <t>Total Pair</t>
  </si>
  <si>
    <t>Price/Pr</t>
  </si>
  <si>
    <t>Total Price /PR</t>
  </si>
  <si>
    <t>Package (hide)</t>
  </si>
  <si>
    <t>Brand</t>
  </si>
  <si>
    <t>Gender</t>
  </si>
  <si>
    <t>E2</t>
  </si>
  <si>
    <t>H</t>
  </si>
  <si>
    <t>W2</t>
  </si>
  <si>
    <t>IRISH SETTER</t>
  </si>
  <si>
    <t>E</t>
  </si>
  <si>
    <t>INSTRUCTIONS</t>
  </si>
  <si>
    <t xml:space="preserve"> YES for address change  </t>
  </si>
  <si>
    <t xml:space="preserve">FORMATTING:   Zeros are not required when entering the stock number (953   2231   83912)   </t>
  </si>
  <si>
    <t xml:space="preserve">                               Fill in stock number on each line. Do Not skip any lines between styles.</t>
  </si>
  <si>
    <t>ADDRESS:</t>
  </si>
  <si>
    <t>EXISTING TOTAL PAIR</t>
  </si>
  <si>
    <t xml:space="preserve">                     Widths— A   A2   B   C  D  E  E2  E3  H N M  W  W2</t>
  </si>
  <si>
    <t xml:space="preserve">CITY: </t>
  </si>
  <si>
    <t>EXISTING TOTAL PRICE:</t>
  </si>
  <si>
    <r>
      <t xml:space="preserve">SHIP DATE FIELD:   Enter </t>
    </r>
    <r>
      <rPr>
        <b/>
        <u/>
        <sz val="12"/>
        <color rgb="FF000000"/>
        <rFont val="Calibri"/>
        <family val="2"/>
      </rPr>
      <t xml:space="preserve"> At Once</t>
    </r>
    <r>
      <rPr>
        <b/>
        <sz val="12"/>
        <color rgb="FF000000"/>
        <rFont val="Calibri"/>
        <family val="2"/>
      </rPr>
      <t xml:space="preserve">  for product to ship when available       </t>
    </r>
  </si>
  <si>
    <t>STATE:</t>
  </si>
  <si>
    <t>MMDDYY  (053119) for future shipdate</t>
  </si>
  <si>
    <t xml:space="preserve">Fill in each line that has product listed. </t>
  </si>
  <si>
    <t>TERMS 1</t>
  </si>
  <si>
    <t>Our Reference</t>
  </si>
  <si>
    <t>ENTRY START ON LINE 14</t>
  </si>
  <si>
    <t>REQT DATE</t>
  </si>
  <si>
    <t>Total Pr</t>
  </si>
  <si>
    <t>Total Price</t>
  </si>
  <si>
    <t>E3</t>
  </si>
  <si>
    <t>A2</t>
  </si>
  <si>
    <t>Total</t>
  </si>
  <si>
    <t xml:space="preserve"> </t>
  </si>
  <si>
    <t xml:space="preserve">EURPOEAN TOTAL PAIR: </t>
  </si>
  <si>
    <t>EUROPEAN TOTAL PRICE:</t>
  </si>
  <si>
    <t>Customer Order Number (Internal Use Only)</t>
  </si>
  <si>
    <t>RQT DATE</t>
  </si>
  <si>
    <t>Grand Total Access:</t>
  </si>
  <si>
    <t xml:space="preserve">Total Care Products </t>
  </si>
  <si>
    <t>Total Care Products Price:</t>
  </si>
  <si>
    <t>Terms 1</t>
  </si>
  <si>
    <t>Our reference:</t>
  </si>
  <si>
    <t>Ship Date</t>
  </si>
  <si>
    <t>Stock #</t>
  </si>
  <si>
    <t>Description</t>
  </si>
  <si>
    <t>Price</t>
  </si>
  <si>
    <t>Unit of Measure</t>
  </si>
  <si>
    <t>Quantity</t>
  </si>
  <si>
    <t xml:space="preserve">Total </t>
  </si>
  <si>
    <t>Customer Order Number</t>
  </si>
  <si>
    <t xml:space="preserve">Total Socks </t>
  </si>
  <si>
    <t>Total Socks Price</t>
  </si>
  <si>
    <t xml:space="preserve">Terms 1: </t>
  </si>
  <si>
    <t>Fitted</t>
  </si>
  <si>
    <t>Unit</t>
  </si>
  <si>
    <t xml:space="preserve">Unit </t>
  </si>
  <si>
    <t>QTY Total</t>
  </si>
  <si>
    <t>SOCKS</t>
  </si>
  <si>
    <t>03060</t>
  </si>
  <si>
    <t>04070</t>
  </si>
  <si>
    <t>06090</t>
  </si>
  <si>
    <t>07100</t>
  </si>
  <si>
    <t>09120</t>
  </si>
  <si>
    <t>10130</t>
  </si>
  <si>
    <t>12150</t>
  </si>
  <si>
    <t>12160</t>
  </si>
  <si>
    <t>TOTAL SOCKS</t>
  </si>
  <si>
    <t xml:space="preserve">Total Footbeds </t>
  </si>
  <si>
    <t>A -180 Free Freight</t>
  </si>
  <si>
    <t>FOOTBEDS</t>
  </si>
  <si>
    <t>15</t>
  </si>
  <si>
    <t>TOTAL PAIRS</t>
  </si>
  <si>
    <t xml:space="preserve">Total Belts </t>
  </si>
  <si>
    <t xml:space="preserve">                                         </t>
  </si>
  <si>
    <t>BELTS</t>
  </si>
  <si>
    <t>W26</t>
  </si>
  <si>
    <t>W28</t>
  </si>
  <si>
    <t>W30</t>
  </si>
  <si>
    <t>W32</t>
  </si>
  <si>
    <t>W34</t>
  </si>
  <si>
    <t>W36</t>
  </si>
  <si>
    <t>W38</t>
  </si>
  <si>
    <t>W40</t>
  </si>
  <si>
    <t>W42</t>
  </si>
  <si>
    <t>W44</t>
  </si>
  <si>
    <t>W46</t>
  </si>
  <si>
    <t>W48</t>
  </si>
  <si>
    <t>W50</t>
  </si>
  <si>
    <t>W52</t>
  </si>
  <si>
    <t>W54</t>
  </si>
  <si>
    <t>Qty Total</t>
  </si>
  <si>
    <t xml:space="preserve">TOTAL BELTS </t>
  </si>
  <si>
    <t xml:space="preserve">Total Gloves Scuffs Yaktrax </t>
  </si>
  <si>
    <t>XSM</t>
  </si>
  <si>
    <t xml:space="preserve"> SML</t>
  </si>
  <si>
    <t>MED</t>
  </si>
  <si>
    <t>LRG</t>
  </si>
  <si>
    <t>XLG</t>
  </si>
  <si>
    <t>XXL</t>
  </si>
  <si>
    <t xml:space="preserve">Qty. Total </t>
  </si>
  <si>
    <t xml:space="preserve">Total  </t>
  </si>
  <si>
    <t>050</t>
  </si>
  <si>
    <t>060</t>
  </si>
  <si>
    <t>070</t>
  </si>
  <si>
    <t>080</t>
  </si>
  <si>
    <t>085</t>
  </si>
  <si>
    <t>090</t>
  </si>
  <si>
    <t>095</t>
  </si>
  <si>
    <t>100</t>
  </si>
  <si>
    <t>105</t>
  </si>
  <si>
    <t>110</t>
  </si>
  <si>
    <t>115</t>
  </si>
  <si>
    <t>120</t>
  </si>
  <si>
    <t>130</t>
  </si>
  <si>
    <t>140</t>
  </si>
  <si>
    <t>150</t>
  </si>
  <si>
    <t>160</t>
  </si>
  <si>
    <t>Qty</t>
  </si>
  <si>
    <t>SLIPPERS</t>
  </si>
  <si>
    <t xml:space="preserve">TOTAL SLIPPERS </t>
  </si>
  <si>
    <t xml:space="preserve">Total Glasses  </t>
  </si>
  <si>
    <t>Total Glasses Price</t>
  </si>
  <si>
    <t>SAFETY GLASSES</t>
  </si>
  <si>
    <t>Qty.</t>
  </si>
  <si>
    <t xml:space="preserve">TOTAL SAFETY GLASSES </t>
  </si>
  <si>
    <t>STORE NAME</t>
  </si>
  <si>
    <t>ADDRESS</t>
  </si>
  <si>
    <t xml:space="preserve">TERMS 1 </t>
  </si>
  <si>
    <t>SML/MED</t>
  </si>
  <si>
    <t>LRG/XLG</t>
  </si>
  <si>
    <t>2XL/3XL</t>
  </si>
  <si>
    <t>Lookup Reference:</t>
  </si>
  <si>
    <t>Concatenate</t>
  </si>
  <si>
    <t>REQT DATE FORMAT:
MMDDYY (FUTURE)
AT ONCE (AS AVAILABLE)</t>
  </si>
  <si>
    <t>6 pr.</t>
  </si>
  <si>
    <t>VASQ</t>
  </si>
  <si>
    <t>031523</t>
  </si>
  <si>
    <t>041523</t>
  </si>
  <si>
    <t>051523</t>
  </si>
  <si>
    <t>061523</t>
  </si>
  <si>
    <t>REQT DATE FORMAT:</t>
  </si>
  <si>
    <t>MMDDYY (FUTURE)</t>
  </si>
  <si>
    <t>AT ONCE (AS AVAILABLE)</t>
  </si>
  <si>
    <t>12 pair</t>
  </si>
  <si>
    <t xml:space="preserve">Total Gloves, Misc </t>
  </si>
  <si>
    <t>Existing</t>
  </si>
  <si>
    <t>H - 90 FFT</t>
  </si>
  <si>
    <t>F - NO TERMS</t>
  </si>
  <si>
    <t>RED WING</t>
  </si>
  <si>
    <t>RWSS</t>
  </si>
  <si>
    <t>L - 2% FFT</t>
  </si>
  <si>
    <t>PROGRAM A</t>
  </si>
  <si>
    <t>M - 180 FFT</t>
  </si>
  <si>
    <t>N - 4% FFT</t>
  </si>
  <si>
    <t>O - 180 4%</t>
  </si>
  <si>
    <t xml:space="preserve">P - 8% </t>
  </si>
  <si>
    <t>081525</t>
  </si>
  <si>
    <t>QUICK 
RELEASE 
BELTS</t>
  </si>
  <si>
    <t>96538</t>
  </si>
  <si>
    <t>96593</t>
  </si>
  <si>
    <t>Quick Release Nylon Web Belt - Black</t>
  </si>
  <si>
    <t>Quick Release Nylon Web Belt - Copper</t>
  </si>
  <si>
    <t>QR BELTS</t>
  </si>
  <si>
    <t>Total Units Access:</t>
  </si>
  <si>
    <t>TOTAL QUICK RELEASE BELTS</t>
  </si>
  <si>
    <t>A2715</t>
  </si>
  <si>
    <t>A0860</t>
  </si>
  <si>
    <t>A2714</t>
  </si>
  <si>
    <t>A3897</t>
  </si>
  <si>
    <t>G7752</t>
  </si>
  <si>
    <t>G7553</t>
  </si>
  <si>
    <t>G7244</t>
  </si>
  <si>
    <t>G7156</t>
  </si>
  <si>
    <t>DRIFT MOC- BROWN</t>
  </si>
  <si>
    <t>DRIFT MOC- GRAY</t>
  </si>
  <si>
    <t>DRIFT SLIP ON- CREAM</t>
  </si>
  <si>
    <t>DRIFT SLIP ON- GRAY</t>
  </si>
  <si>
    <t>DRIFT SLIP ON- BLACK</t>
  </si>
  <si>
    <t>DRIFT SLIP ON- ORO</t>
  </si>
  <si>
    <t>STYLES</t>
  </si>
  <si>
    <t>IronFlex</t>
  </si>
  <si>
    <t>VersaPro</t>
  </si>
  <si>
    <t>Essentials Edge</t>
  </si>
  <si>
    <t>Cinder</t>
  </si>
  <si>
    <t>Setter Fifty</t>
  </si>
  <si>
    <t>Pipestone</t>
  </si>
  <si>
    <t>DEALERSHIP TERMS OPTIONS</t>
  </si>
  <si>
    <t>NEW SHOES L1</t>
  </si>
  <si>
    <t>NEW SHOES L2</t>
  </si>
  <si>
    <t>Headwear</t>
  </si>
  <si>
    <t>Footwear Tabs: New Shoes
Colored Tab: Only New Accessories Available</t>
  </si>
  <si>
    <t>UNF</t>
  </si>
  <si>
    <t>VNR</t>
  </si>
  <si>
    <t>6/pack</t>
  </si>
  <si>
    <t>KHR</t>
  </si>
  <si>
    <t>Construct</t>
  </si>
  <si>
    <t>081526</t>
  </si>
  <si>
    <t>3054</t>
  </si>
  <si>
    <t>3056</t>
  </si>
  <si>
    <t>3057</t>
  </si>
  <si>
    <t>3058</t>
  </si>
  <si>
    <t>3059</t>
  </si>
  <si>
    <t>3742</t>
  </si>
  <si>
    <t>ExosLite</t>
  </si>
  <si>
    <t>SuperSole X</t>
  </si>
  <si>
    <t>Tecnetic</t>
  </si>
  <si>
    <t>3013</t>
  </si>
  <si>
    <t>3010</t>
  </si>
  <si>
    <t>3011</t>
  </si>
  <si>
    <t>3012</t>
  </si>
  <si>
    <t>5077</t>
  </si>
  <si>
    <t>5193</t>
  </si>
  <si>
    <t xml:space="preserve"> Trailblazer</t>
  </si>
  <si>
    <t>Trail Lock</t>
  </si>
  <si>
    <t>Wingshooter XD</t>
  </si>
  <si>
    <t>FALL 2026 PROGRAM NEW SHOES</t>
  </si>
  <si>
    <t>Logo Knit Beanie - Black</t>
  </si>
  <si>
    <t>Logo Knit Beanie - Coyote Brown</t>
  </si>
  <si>
    <t>Logo Knit Beanie - Dark Gray Heather</t>
  </si>
  <si>
    <t>Logo Knit Beanie - Light Gray Heather</t>
  </si>
  <si>
    <t>Logo Knit Beanie - Dark Denim</t>
  </si>
  <si>
    <t>Logo Knit Beanie - Olive</t>
  </si>
  <si>
    <t>Wallet / Cardholder</t>
  </si>
  <si>
    <t>Bifold Wallet - Black</t>
  </si>
  <si>
    <t>Bifold Wallet - Oro</t>
  </si>
  <si>
    <t>Card Holder - Black</t>
  </si>
  <si>
    <t>Card Holder - Oro</t>
  </si>
  <si>
    <t>3/pack</t>
  </si>
  <si>
    <t>091526</t>
  </si>
  <si>
    <t>96594</t>
  </si>
  <si>
    <t>F26_RWSS_L1</t>
  </si>
  <si>
    <t>F26_RWSS_L2</t>
  </si>
  <si>
    <t>F26 RWSS NO TERMS</t>
  </si>
  <si>
    <t>071526</t>
  </si>
  <si>
    <r>
      <t xml:space="preserve">REQT DATE FORMAT: MMDDYY
</t>
    </r>
    <r>
      <rPr>
        <b/>
        <sz val="11"/>
        <rFont val="Arial"/>
        <family val="2"/>
      </rPr>
      <t>RQT DATE STARTING 080126</t>
    </r>
  </si>
  <si>
    <t>SEASONAL FALL ORDERS</t>
  </si>
  <si>
    <t>NEW AND SEASONAL</t>
  </si>
  <si>
    <t xml:space="preserve">F26 A </t>
  </si>
  <si>
    <t>REQT DATE FORMAT: MMDDYY: 
STARTING 080126</t>
  </si>
  <si>
    <t>August 1st Through December 15th</t>
  </si>
  <si>
    <t xml:space="preserve">SEASONAL SLIPPERS August 1st - December 15th </t>
  </si>
  <si>
    <t>OPTED OUT OF RECOMMENDATION (terms H or L)</t>
  </si>
  <si>
    <t>RECOMMENDATION SELECTED (terms M, N, O, or P)</t>
  </si>
  <si>
    <t>101526</t>
  </si>
  <si>
    <t>New Laces</t>
  </si>
  <si>
    <t>54" Heavy Duty Kevlar - Black</t>
  </si>
  <si>
    <t>12 Pair (hang card)</t>
  </si>
  <si>
    <t>63" Heavy Duty Kevlar - Black</t>
  </si>
  <si>
    <t>Wallet &amp; Keychain Gift Box - Black</t>
  </si>
  <si>
    <t>Wallet &amp; Keychain Gift Box - Oro</t>
  </si>
  <si>
    <t>Keychain</t>
  </si>
  <si>
    <t>Leather Keychain - Black</t>
  </si>
  <si>
    <t>Leather Keychain - Oro</t>
  </si>
  <si>
    <t>121125</t>
  </si>
  <si>
    <t>Leather-Lined Nylon Work Belt</t>
  </si>
  <si>
    <t>Heavy Duty Leather Comfort Belt</t>
  </si>
  <si>
    <t>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</si>
</sst>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_);_(* \(#,##0\);_(* &quot;&quot;??_);_(@_)"/>
    <numFmt numFmtId="167" formatCode="_(&quot;$&quot;* #,##0.00_);_(&quot;$&quot;* \(#,##0.00\);_(&quot;$&quot;* &quot;&quot;??_);_(@_)"/>
    <numFmt numFmtId="168" formatCode="m/d/yy;@"/>
    <numFmt numFmtId="169" formatCode="&quot;$&quot;#,##0.00"/>
    <numFmt numFmtId="170" formatCode="mmddyy"/>
  </numFmts>
  <fonts count="8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theme="2"/>
      <name val="Arial"/>
      <family val="2"/>
    </font>
    <font>
      <b/>
      <sz val="20"/>
      <name val="Arial"/>
      <family val="2"/>
    </font>
    <font>
      <sz val="10"/>
      <color theme="0" tint="-0.14999847407452621"/>
      <name val="Arial"/>
      <family val="2"/>
    </font>
    <font>
      <b/>
      <sz val="9"/>
      <name val="Arial"/>
      <family val="2"/>
    </font>
    <font>
      <sz val="10"/>
      <color theme="0" tint="-4.9989318521683403E-2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5" tint="-0.499984740745262"/>
      <name val="Arial"/>
      <family val="2"/>
    </font>
    <font>
      <b/>
      <sz val="10"/>
      <color theme="1"/>
      <name val="Arial"/>
      <family val="2"/>
    </font>
    <font>
      <b/>
      <sz val="9"/>
      <color theme="0" tint="-4.9989318521683403E-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9"/>
      <color theme="0" tint="-0.1499984740745262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  <scheme val="minor"/>
    </font>
    <font>
      <b/>
      <u/>
      <sz val="12"/>
      <color rgb="FF000000"/>
      <name val="Calibri"/>
      <family val="2"/>
    </font>
    <font>
      <sz val="12"/>
      <color theme="0" tint="-4.9989318521683403E-2"/>
      <name val="Calibri"/>
      <family val="2"/>
    </font>
    <font>
      <b/>
      <sz val="10"/>
      <color rgb="FFC00000"/>
      <name val="Arial"/>
      <family val="2"/>
    </font>
    <font>
      <b/>
      <u/>
      <sz val="18"/>
      <color rgb="FF000000"/>
      <name val="Calibri"/>
      <family val="2"/>
    </font>
    <font>
      <b/>
      <u/>
      <sz val="18"/>
      <name val="Calibri"/>
      <family val="2"/>
      <scheme val="minor"/>
    </font>
    <font>
      <sz val="12"/>
      <color theme="0" tint="-4.9989318521683403E-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color theme="2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0" tint="-4.9989318521683403E-2"/>
      <name val="Arial"/>
      <family val="2"/>
    </font>
    <font>
      <sz val="14"/>
      <color theme="0" tint="-4.9989318521683403E-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color rgb="FF000000"/>
      <name val="Calibri"/>
      <family val="2"/>
    </font>
    <font>
      <b/>
      <sz val="11"/>
      <color rgb="FFA20000"/>
      <name val="Arial"/>
      <family val="2"/>
    </font>
    <font>
      <b/>
      <sz val="11"/>
      <color rgb="FFC00000"/>
      <name val="Arial"/>
      <family val="2"/>
    </font>
    <font>
      <b/>
      <sz val="13.5"/>
      <color rgb="FFC00000"/>
      <name val="Arial"/>
      <family val="2"/>
    </font>
    <font>
      <b/>
      <u/>
      <sz val="10"/>
      <name val="Arial"/>
      <family val="2"/>
    </font>
    <font>
      <b/>
      <sz val="9"/>
      <color theme="5" tint="-0.499984740745262"/>
      <name val="Arial"/>
      <family val="2"/>
    </font>
    <font>
      <sz val="8"/>
      <name val="Arial"/>
      <family val="2"/>
    </font>
    <font>
      <b/>
      <sz val="14"/>
      <color theme="5" tint="-0.249977111117893"/>
      <name val="Arial"/>
      <family val="2"/>
    </font>
    <font>
      <i/>
      <sz val="12"/>
      <name val="Calibri"/>
      <family val="2"/>
      <scheme val="minor"/>
    </font>
    <font>
      <b/>
      <sz val="14"/>
      <color rgb="FFC00000"/>
      <name val="Arial"/>
      <family val="2"/>
    </font>
    <font>
      <b/>
      <sz val="16"/>
      <color rgb="FFC00000"/>
      <name val="Arial"/>
      <family val="2"/>
    </font>
    <font>
      <b/>
      <sz val="12"/>
      <color theme="3" tint="-0.499984740745262"/>
      <name val="Arial"/>
      <family val="2"/>
    </font>
    <font>
      <b/>
      <sz val="11"/>
      <color theme="3" tint="-0.499984740745262"/>
      <name val="Arial"/>
      <family val="2"/>
    </font>
    <font>
      <b/>
      <sz val="10"/>
      <color theme="3" tint="-0.499984740745262"/>
      <name val="Arial"/>
      <family val="2"/>
    </font>
    <font>
      <sz val="12"/>
      <color theme="3" tint="-0.499984740745262"/>
      <name val="Arial"/>
      <family val="2"/>
    </font>
    <font>
      <sz val="11"/>
      <color theme="0" tint="-0.14999847407452621"/>
      <name val="Arial"/>
      <family val="2"/>
    </font>
    <font>
      <b/>
      <sz val="10"/>
      <color theme="0" tint="-0.14999847407452621"/>
      <name val="Arial"/>
      <family val="2"/>
    </font>
    <font>
      <b/>
      <sz val="11"/>
      <color theme="0" tint="-0.1499984740745262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 tint="-0.34998626667073579"/>
      <name val="Arial"/>
      <family val="2"/>
    </font>
    <font>
      <b/>
      <sz val="10"/>
      <color theme="0" tint="-0.34998626667073579"/>
      <name val="Arial"/>
      <family val="2"/>
    </font>
    <font>
      <b/>
      <u/>
      <sz val="12"/>
      <color rgb="FFA20000"/>
      <name val="Arial"/>
      <family val="2"/>
    </font>
    <font>
      <sz val="11"/>
      <color rgb="FFFF0000"/>
      <name val="Arial"/>
      <family val="2"/>
    </font>
    <font>
      <sz val="13"/>
      <color rgb="FFFF0000"/>
      <name val="Arial"/>
      <family val="2"/>
    </font>
    <font>
      <b/>
      <sz val="12"/>
      <name val="Calibri"/>
      <family val="2"/>
    </font>
    <font>
      <sz val="11"/>
      <color theme="0" tint="-4.9989318521683403E-2"/>
      <name val="Calibri"/>
      <family val="2"/>
      <scheme val="minor"/>
    </font>
    <font>
      <sz val="8"/>
      <name val="Arial"/>
      <family val="2"/>
    </font>
    <font>
      <b/>
      <sz val="22"/>
      <name val="Arial"/>
      <family val="2"/>
    </font>
    <font>
      <b/>
      <sz val="24"/>
      <name val="Arial"/>
      <family val="2"/>
    </font>
    <font>
      <sz val="12"/>
      <color rgb="FFFF0000"/>
      <name val="Arial"/>
      <family val="2"/>
    </font>
    <font>
      <sz val="12"/>
      <name val="Aptos"/>
      <family val="2"/>
    </font>
  </fonts>
  <fills count="39">
    <fill>
      <patternFill patternType="none"/>
    </fill>
    <fill>
      <patternFill patternType="gray125"/>
    </fill>
    <fill>
      <patternFill patternType="gray0625"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0CAAC"/>
        <bgColor indexed="64"/>
      </patternFill>
    </fill>
    <fill>
      <patternFill patternType="solid">
        <fgColor rgb="FFFFFF00"/>
        <bgColor indexed="64"/>
      </patternFill>
    </fill>
    <fill>
      <patternFill patternType="lightDown"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darkGray">
        <fgColor theme="1" tint="0.34998626667073579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darkGray">
        <fgColor theme="1" tint="0.34998626667073579"/>
        <bgColor theme="2"/>
      </patternFill>
    </fill>
    <fill>
      <patternFill patternType="darkGray">
        <fgColor theme="1" tint="0.34998626667073579"/>
        <bgColor theme="0"/>
      </patternFill>
    </fill>
    <fill>
      <patternFill patternType="solid">
        <fgColor theme="9" tint="-0.249977111117893"/>
        <bgColor indexed="64"/>
      </patternFill>
    </fill>
    <fill>
      <patternFill patternType="darkGray">
        <fgColor theme="1" tint="0.34998626667073579"/>
        <bgColor theme="1" tint="0.3499862666707357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4" fillId="0" borderId="0"/>
    <xf numFmtId="0" fontId="2" fillId="0" borderId="0"/>
    <xf numFmtId="0" fontId="4" fillId="0" borderId="0"/>
    <xf numFmtId="0" fontId="2" fillId="0" borderId="0"/>
  </cellStyleXfs>
  <cellXfs count="1602">
    <xf numFmtId="0" fontId="0" fillId="0" borderId="0" xfId="0"/>
    <xf numFmtId="0" fontId="5" fillId="0" borderId="0" xfId="0" applyFont="1"/>
    <xf numFmtId="0" fontId="9" fillId="0" borderId="0" xfId="0" applyFont="1"/>
    <xf numFmtId="0" fontId="6" fillId="0" borderId="0" xfId="0" applyFont="1"/>
    <xf numFmtId="0" fontId="9" fillId="0" borderId="0" xfId="0" applyFont="1" applyAlignment="1">
      <alignment horizontal="center" vertical="center"/>
    </xf>
    <xf numFmtId="0" fontId="4" fillId="0" borderId="0" xfId="0" applyFont="1"/>
    <xf numFmtId="0" fontId="11" fillId="0" borderId="0" xfId="0" applyFont="1"/>
    <xf numFmtId="0" fontId="4" fillId="0" borderId="1" xfId="0" applyFont="1" applyBorder="1" applyProtection="1">
      <protection locked="0"/>
    </xf>
    <xf numFmtId="0" fontId="4" fillId="0" borderId="0" xfId="0" applyFont="1" applyAlignment="1">
      <alignment horizontal="right"/>
    </xf>
    <xf numFmtId="0" fontId="13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2" applyNumberFormat="1" applyFont="1" applyFill="1"/>
    <xf numFmtId="4" fontId="0" fillId="0" borderId="0" xfId="0" applyNumberFormat="1"/>
    <xf numFmtId="0" fontId="14" fillId="4" borderId="0" xfId="0" applyFont="1" applyFill="1"/>
    <xf numFmtId="0" fontId="9" fillId="4" borderId="0" xfId="0" applyFont="1" applyFill="1" applyAlignment="1">
      <alignment horizontal="center"/>
    </xf>
    <xf numFmtId="0" fontId="15" fillId="0" borderId="0" xfId="0" applyFont="1"/>
    <xf numFmtId="167" fontId="4" fillId="0" borderId="0" xfId="0" applyNumberFormat="1" applyFont="1" applyAlignment="1">
      <alignment horizontal="left"/>
    </xf>
    <xf numFmtId="0" fontId="8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7" fillId="4" borderId="0" xfId="0" applyFont="1" applyFill="1"/>
    <xf numFmtId="0" fontId="16" fillId="0" borderId="0" xfId="0" applyFont="1"/>
    <xf numFmtId="0" fontId="18" fillId="0" borderId="0" xfId="0" applyFont="1"/>
    <xf numFmtId="0" fontId="9" fillId="4" borderId="0" xfId="0" applyFont="1" applyFill="1"/>
    <xf numFmtId="0" fontId="4" fillId="0" borderId="0" xfId="0" applyFont="1" applyProtection="1">
      <protection locked="0"/>
    </xf>
    <xf numFmtId="0" fontId="20" fillId="4" borderId="0" xfId="0" applyFont="1" applyFill="1"/>
    <xf numFmtId="0" fontId="4" fillId="0" borderId="0" xfId="0" applyFont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Protection="1">
      <protection locked="0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4" fillId="0" borderId="8" xfId="0" applyFont="1" applyBorder="1"/>
    <xf numFmtId="0" fontId="14" fillId="4" borderId="0" xfId="0" applyFont="1" applyFill="1" applyProtection="1">
      <protection locked="0"/>
    </xf>
    <xf numFmtId="3" fontId="4" fillId="0" borderId="0" xfId="0" applyNumberFormat="1" applyFont="1" applyAlignment="1">
      <alignment horizontal="center"/>
    </xf>
    <xf numFmtId="0" fontId="9" fillId="4" borderId="0" xfId="0" applyFont="1" applyFill="1" applyProtection="1">
      <protection locked="0"/>
    </xf>
    <xf numFmtId="49" fontId="9" fillId="0" borderId="44" xfId="0" applyNumberFormat="1" applyFont="1" applyBorder="1" applyAlignment="1">
      <alignment horizontal="left"/>
    </xf>
    <xf numFmtId="44" fontId="9" fillId="0" borderId="44" xfId="2" applyFont="1" applyBorder="1" applyAlignment="1" applyProtection="1">
      <alignment horizontal="center"/>
    </xf>
    <xf numFmtId="0" fontId="0" fillId="0" borderId="2" xfId="0" applyBorder="1"/>
    <xf numFmtId="0" fontId="21" fillId="0" borderId="0" xfId="0" applyFont="1"/>
    <xf numFmtId="0" fontId="21" fillId="0" borderId="45" xfId="0" applyFont="1" applyBorder="1"/>
    <xf numFmtId="0" fontId="0" fillId="0" borderId="0" xfId="0" applyAlignment="1">
      <alignment horizontal="center"/>
    </xf>
    <xf numFmtId="0" fontId="4" fillId="0" borderId="6" xfId="0" applyFont="1" applyBorder="1" applyProtection="1">
      <protection locked="0"/>
    </xf>
    <xf numFmtId="2" fontId="4" fillId="4" borderId="0" xfId="0" applyNumberFormat="1" applyFont="1" applyFill="1" applyProtection="1">
      <protection locked="0"/>
    </xf>
    <xf numFmtId="0" fontId="4" fillId="4" borderId="0" xfId="0" applyFont="1" applyFill="1" applyProtection="1">
      <protection locked="0"/>
    </xf>
    <xf numFmtId="0" fontId="4" fillId="4" borderId="0" xfId="0" applyFont="1" applyFill="1"/>
    <xf numFmtId="0" fontId="9" fillId="0" borderId="1" xfId="0" applyFont="1" applyBorder="1" applyProtection="1">
      <protection locked="0"/>
    </xf>
    <xf numFmtId="0" fontId="18" fillId="4" borderId="0" xfId="0" applyFont="1" applyFill="1"/>
    <xf numFmtId="0" fontId="8" fillId="4" borderId="0" xfId="0" applyFont="1" applyFill="1"/>
    <xf numFmtId="0" fontId="23" fillId="4" borderId="0" xfId="0" applyFont="1" applyFill="1"/>
    <xf numFmtId="0" fontId="18" fillId="4" borderId="0" xfId="0" applyFont="1" applyFill="1" applyAlignment="1">
      <alignment vertical="center" wrapText="1"/>
    </xf>
    <xf numFmtId="0" fontId="9" fillId="4" borderId="0" xfId="0" applyFont="1" applyFill="1" applyAlignment="1" applyProtection="1">
      <alignment horizontal="center"/>
      <protection locked="0"/>
    </xf>
    <xf numFmtId="0" fontId="7" fillId="4" borderId="0" xfId="0" applyFont="1" applyFill="1"/>
    <xf numFmtId="0" fontId="15" fillId="4" borderId="0" xfId="0" applyFont="1" applyFill="1"/>
    <xf numFmtId="49" fontId="4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69" fontId="0" fillId="0" borderId="0" xfId="0" applyNumberFormat="1" applyAlignment="1">
      <alignment horizontal="center" vertical="center"/>
    </xf>
    <xf numFmtId="0" fontId="18" fillId="4" borderId="20" xfId="0" applyFont="1" applyFill="1" applyBorder="1" applyAlignment="1">
      <alignment horizontal="center"/>
    </xf>
    <xf numFmtId="0" fontId="0" fillId="4" borderId="0" xfId="0" applyFill="1" applyAlignment="1">
      <alignment horizontal="left"/>
    </xf>
    <xf numFmtId="0" fontId="4" fillId="4" borderId="1" xfId="0" applyFont="1" applyFill="1" applyBorder="1" applyProtection="1">
      <protection locked="0"/>
    </xf>
    <xf numFmtId="0" fontId="18" fillId="4" borderId="20" xfId="0" applyFont="1" applyFill="1" applyBorder="1" applyAlignment="1" applyProtection="1">
      <alignment horizontal="center"/>
      <protection locked="0"/>
    </xf>
    <xf numFmtId="49" fontId="4" fillId="4" borderId="0" xfId="0" applyNumberFormat="1" applyFont="1" applyFill="1" applyProtection="1">
      <protection locked="0"/>
    </xf>
    <xf numFmtId="0" fontId="4" fillId="0" borderId="1" xfId="0" applyFont="1" applyBorder="1"/>
    <xf numFmtId="2" fontId="4" fillId="4" borderId="0" xfId="0" applyNumberFormat="1" applyFont="1" applyFill="1"/>
    <xf numFmtId="0" fontId="0" fillId="4" borderId="0" xfId="0" applyFill="1"/>
    <xf numFmtId="0" fontId="4" fillId="0" borderId="0" xfId="0" applyFont="1" applyAlignment="1">
      <alignment vertical="center" wrapText="1"/>
    </xf>
    <xf numFmtId="0" fontId="18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49" fontId="4" fillId="0" borderId="0" xfId="0" applyNumberFormat="1" applyFont="1"/>
    <xf numFmtId="0" fontId="0" fillId="0" borderId="0" xfId="0" applyProtection="1">
      <protection locked="0"/>
    </xf>
    <xf numFmtId="49" fontId="9" fillId="0" borderId="59" xfId="0" applyNumberFormat="1" applyFont="1" applyBorder="1"/>
    <xf numFmtId="0" fontId="21" fillId="0" borderId="0" xfId="0" applyFont="1" applyAlignment="1">
      <alignment horizontal="center"/>
    </xf>
    <xf numFmtId="0" fontId="6" fillId="0" borderId="2" xfId="0" applyFont="1" applyBorder="1"/>
    <xf numFmtId="1" fontId="6" fillId="7" borderId="2" xfId="2" applyNumberFormat="1" applyFont="1" applyFill="1" applyBorder="1" applyAlignment="1" applyProtection="1">
      <alignment horizontal="center"/>
    </xf>
    <xf numFmtId="0" fontId="6" fillId="0" borderId="15" xfId="0" applyFont="1" applyBorder="1" applyAlignment="1">
      <alignment horizontal="center"/>
    </xf>
    <xf numFmtId="49" fontId="6" fillId="0" borderId="0" xfId="0" applyNumberFormat="1" applyFont="1"/>
    <xf numFmtId="49" fontId="10" fillId="0" borderId="28" xfId="0" applyNumberFormat="1" applyFont="1" applyBorder="1" applyAlignment="1">
      <alignment horizontal="left" vertical="center"/>
    </xf>
    <xf numFmtId="49" fontId="10" fillId="0" borderId="31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10" fillId="0" borderId="36" xfId="2" applyNumberFormat="1" applyFont="1" applyBorder="1" applyAlignment="1" applyProtection="1">
      <alignment horizontal="center" vertical="center"/>
    </xf>
    <xf numFmtId="1" fontId="10" fillId="0" borderId="36" xfId="2" applyNumberFormat="1" applyFont="1" applyBorder="1" applyAlignment="1" applyProtection="1">
      <alignment horizontal="center" vertical="center"/>
    </xf>
    <xf numFmtId="0" fontId="10" fillId="0" borderId="36" xfId="0" applyFont="1" applyBorder="1" applyAlignment="1">
      <alignment horizontal="center" vertical="center"/>
    </xf>
    <xf numFmtId="1" fontId="10" fillId="0" borderId="36" xfId="0" applyNumberFormat="1" applyFont="1" applyBorder="1" applyAlignment="1">
      <alignment horizontal="center" vertical="center"/>
    </xf>
    <xf numFmtId="49" fontId="10" fillId="0" borderId="36" xfId="0" applyNumberFormat="1" applyFont="1" applyBorder="1" applyAlignment="1">
      <alignment horizontal="center" vertical="center"/>
    </xf>
    <xf numFmtId="0" fontId="25" fillId="0" borderId="37" xfId="0" applyFont="1" applyBorder="1"/>
    <xf numFmtId="0" fontId="6" fillId="0" borderId="46" xfId="0" applyFont="1" applyBorder="1"/>
    <xf numFmtId="0" fontId="10" fillId="0" borderId="53" xfId="0" applyFont="1" applyBorder="1" applyAlignment="1">
      <alignment horizontal="center"/>
    </xf>
    <xf numFmtId="0" fontId="10" fillId="0" borderId="55" xfId="0" applyFont="1" applyBorder="1" applyAlignment="1">
      <alignment horizontal="center"/>
    </xf>
    <xf numFmtId="49" fontId="10" fillId="0" borderId="55" xfId="2" applyNumberFormat="1" applyFont="1" applyBorder="1" applyAlignment="1" applyProtection="1">
      <alignment horizontal="center"/>
    </xf>
    <xf numFmtId="3" fontId="10" fillId="0" borderId="55" xfId="0" applyNumberFormat="1" applyFont="1" applyBorder="1" applyAlignment="1">
      <alignment horizontal="center" vertical="center"/>
    </xf>
    <xf numFmtId="49" fontId="10" fillId="0" borderId="53" xfId="0" applyNumberFormat="1" applyFont="1" applyBorder="1" applyAlignment="1">
      <alignment horizontal="centerContinuous"/>
    </xf>
    <xf numFmtId="49" fontId="6" fillId="0" borderId="53" xfId="0" applyNumberFormat="1" applyFont="1" applyBorder="1" applyAlignment="1">
      <alignment horizontal="centerContinuous"/>
    </xf>
    <xf numFmtId="49" fontId="10" fillId="0" borderId="55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3" fontId="10" fillId="0" borderId="0" xfId="0" applyNumberFormat="1" applyFont="1" applyAlignment="1">
      <alignment horizontal="center"/>
    </xf>
    <xf numFmtId="0" fontId="24" fillId="0" borderId="37" xfId="0" applyFont="1" applyBorder="1"/>
    <xf numFmtId="49" fontId="10" fillId="0" borderId="53" xfId="0" applyNumberFormat="1" applyFont="1" applyBorder="1"/>
    <xf numFmtId="49" fontId="6" fillId="9" borderId="21" xfId="2" applyNumberFormat="1" applyFont="1" applyFill="1" applyBorder="1" applyAlignment="1" applyProtection="1"/>
    <xf numFmtId="0" fontId="6" fillId="0" borderId="14" xfId="0" applyFont="1" applyBorder="1" applyProtection="1">
      <protection locked="0"/>
    </xf>
    <xf numFmtId="0" fontId="6" fillId="0" borderId="34" xfId="0" applyFont="1" applyBorder="1" applyProtection="1">
      <protection locked="0"/>
    </xf>
    <xf numFmtId="0" fontId="10" fillId="4" borderId="34" xfId="0" applyFont="1" applyFill="1" applyBorder="1"/>
    <xf numFmtId="0" fontId="6" fillId="0" borderId="34" xfId="0" applyFont="1" applyBorder="1"/>
    <xf numFmtId="0" fontId="10" fillId="4" borderId="0" xfId="0" applyFont="1" applyFill="1" applyProtection="1">
      <protection locked="0"/>
    </xf>
    <xf numFmtId="0" fontId="26" fillId="0" borderId="0" xfId="0" applyFont="1"/>
    <xf numFmtId="0" fontId="27" fillId="0" borderId="0" xfId="0" applyFont="1"/>
    <xf numFmtId="49" fontId="22" fillId="0" borderId="49" xfId="0" applyNumberFormat="1" applyFont="1" applyBorder="1" applyAlignment="1">
      <alignment horizontal="center"/>
    </xf>
    <xf numFmtId="49" fontId="22" fillId="0" borderId="51" xfId="0" applyNumberFormat="1" applyFont="1" applyBorder="1" applyAlignment="1">
      <alignment horizontal="center"/>
    </xf>
    <xf numFmtId="49" fontId="22" fillId="0" borderId="42" xfId="0" applyNumberFormat="1" applyFont="1" applyBorder="1" applyAlignment="1">
      <alignment horizontal="center"/>
    </xf>
    <xf numFmtId="49" fontId="22" fillId="0" borderId="42" xfId="2" applyNumberFormat="1" applyFont="1" applyBorder="1" applyAlignment="1" applyProtection="1">
      <alignment horizontal="center"/>
    </xf>
    <xf numFmtId="0" fontId="10" fillId="0" borderId="0" xfId="0" applyFont="1"/>
    <xf numFmtId="7" fontId="6" fillId="0" borderId="16" xfId="2" applyNumberFormat="1" applyFont="1" applyBorder="1" applyAlignment="1" applyProtection="1">
      <alignment horizontal="center"/>
    </xf>
    <xf numFmtId="7" fontId="6" fillId="0" borderId="9" xfId="2" applyNumberFormat="1" applyFont="1" applyBorder="1" applyAlignment="1" applyProtection="1">
      <alignment horizontal="center"/>
    </xf>
    <xf numFmtId="49" fontId="6" fillId="2" borderId="2" xfId="1" applyNumberFormat="1" applyFont="1" applyFill="1" applyBorder="1" applyProtection="1"/>
    <xf numFmtId="164" fontId="6" fillId="2" borderId="2" xfId="1" applyNumberFormat="1" applyFont="1" applyFill="1" applyBorder="1" applyProtection="1"/>
    <xf numFmtId="0" fontId="6" fillId="2" borderId="2" xfId="1" applyNumberFormat="1" applyFont="1" applyFill="1" applyBorder="1" applyAlignment="1" applyProtection="1">
      <alignment vertical="center"/>
    </xf>
    <xf numFmtId="167" fontId="10" fillId="0" borderId="16" xfId="0" applyNumberFormat="1" applyFont="1" applyBorder="1" applyAlignment="1">
      <alignment horizontal="center"/>
    </xf>
    <xf numFmtId="0" fontId="6" fillId="0" borderId="0" xfId="0" applyFont="1" applyAlignment="1">
      <alignment vertical="center"/>
    </xf>
    <xf numFmtId="4" fontId="6" fillId="0" borderId="0" xfId="0" applyNumberFormat="1" applyFont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166" fontId="6" fillId="0" borderId="2" xfId="1" applyNumberFormat="1" applyFont="1" applyBorder="1" applyAlignment="1" applyProtection="1">
      <alignment horizontal="center" vertical="center"/>
    </xf>
    <xf numFmtId="166" fontId="6" fillId="0" borderId="21" xfId="1" applyNumberFormat="1" applyFont="1" applyBorder="1" applyAlignment="1" applyProtection="1">
      <alignment horizontal="center" vertical="center"/>
    </xf>
    <xf numFmtId="0" fontId="30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1" fillId="0" borderId="0" xfId="0" applyFont="1"/>
    <xf numFmtId="0" fontId="33" fillId="0" borderId="0" xfId="0" applyFont="1" applyAlignment="1">
      <alignment horizontal="left" vertical="center"/>
    </xf>
    <xf numFmtId="164" fontId="6" fillId="0" borderId="2" xfId="1" applyNumberFormat="1" applyFont="1" applyFill="1" applyBorder="1" applyAlignment="1" applyProtection="1">
      <alignment vertical="center"/>
    </xf>
    <xf numFmtId="0" fontId="10" fillId="0" borderId="0" xfId="0" applyFont="1" applyAlignment="1">
      <alignment horizontal="center" vertical="center"/>
    </xf>
    <xf numFmtId="0" fontId="19" fillId="0" borderId="0" xfId="0" applyFont="1" applyAlignment="1">
      <alignment vertical="top" wrapText="1"/>
    </xf>
    <xf numFmtId="0" fontId="10" fillId="0" borderId="61" xfId="0" applyFont="1" applyBorder="1" applyAlignment="1">
      <alignment horizontal="center" vertical="center"/>
    </xf>
    <xf numFmtId="0" fontId="40" fillId="0" borderId="0" xfId="0" applyFont="1"/>
    <xf numFmtId="0" fontId="41" fillId="0" borderId="0" xfId="0" applyFont="1" applyAlignment="1">
      <alignment vertical="center" wrapText="1"/>
    </xf>
    <xf numFmtId="0" fontId="42" fillId="0" borderId="0" xfId="0" applyFont="1"/>
    <xf numFmtId="3" fontId="40" fillId="0" borderId="0" xfId="0" applyNumberFormat="1" applyFont="1" applyAlignment="1">
      <alignment horizontal="center"/>
    </xf>
    <xf numFmtId="0" fontId="43" fillId="0" borderId="0" xfId="0" applyFont="1"/>
    <xf numFmtId="0" fontId="41" fillId="4" borderId="0" xfId="0" applyFont="1" applyFill="1"/>
    <xf numFmtId="0" fontId="41" fillId="4" borderId="0" xfId="0" applyFont="1" applyFill="1" applyAlignment="1">
      <alignment horizontal="center"/>
    </xf>
    <xf numFmtId="0" fontId="44" fillId="4" borderId="0" xfId="0" applyFont="1" applyFill="1"/>
    <xf numFmtId="0" fontId="41" fillId="4" borderId="0" xfId="0" applyFont="1" applyFill="1" applyProtection="1">
      <protection locked="0"/>
    </xf>
    <xf numFmtId="0" fontId="45" fillId="4" borderId="0" xfId="0" applyFont="1" applyFill="1"/>
    <xf numFmtId="0" fontId="40" fillId="0" borderId="14" xfId="0" applyFont="1" applyBorder="1" applyProtection="1">
      <protection locked="0"/>
    </xf>
    <xf numFmtId="0" fontId="40" fillId="4" borderId="1" xfId="0" applyFont="1" applyFill="1" applyBorder="1" applyProtection="1">
      <protection locked="0"/>
    </xf>
    <xf numFmtId="0" fontId="46" fillId="0" borderId="0" xfId="0" applyFont="1"/>
    <xf numFmtId="0" fontId="40" fillId="0" borderId="46" xfId="0" applyFont="1" applyBorder="1"/>
    <xf numFmtId="0" fontId="47" fillId="0" borderId="0" xfId="0" applyFont="1"/>
    <xf numFmtId="0" fontId="22" fillId="0" borderId="0" xfId="0" applyFont="1"/>
    <xf numFmtId="0" fontId="37" fillId="0" borderId="0" xfId="0" applyFont="1"/>
    <xf numFmtId="0" fontId="21" fillId="0" borderId="2" xfId="1" applyNumberFormat="1" applyFont="1" applyBorder="1" applyAlignment="1" applyProtection="1">
      <alignment horizontal="center" vertical="center"/>
    </xf>
    <xf numFmtId="7" fontId="21" fillId="0" borderId="2" xfId="2" applyNumberFormat="1" applyFont="1" applyBorder="1" applyAlignment="1" applyProtection="1">
      <alignment horizontal="center"/>
    </xf>
    <xf numFmtId="0" fontId="21" fillId="0" borderId="2" xfId="0" applyFont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left" vertical="center"/>
    </xf>
    <xf numFmtId="164" fontId="21" fillId="2" borderId="2" xfId="1" applyNumberFormat="1" applyFont="1" applyFill="1" applyBorder="1" applyProtection="1"/>
    <xf numFmtId="0" fontId="22" fillId="0" borderId="15" xfId="0" applyFont="1" applyBorder="1" applyAlignment="1">
      <alignment horizontal="center"/>
    </xf>
    <xf numFmtId="0" fontId="22" fillId="0" borderId="2" xfId="1" applyNumberFormat="1" applyFont="1" applyFill="1" applyBorder="1" applyAlignment="1" applyProtection="1">
      <alignment horizontal="center"/>
    </xf>
    <xf numFmtId="4" fontId="21" fillId="2" borderId="2" xfId="1" applyNumberFormat="1" applyFont="1" applyFill="1" applyBorder="1" applyProtection="1"/>
    <xf numFmtId="7" fontId="22" fillId="0" borderId="2" xfId="0" applyNumberFormat="1" applyFont="1" applyBorder="1" applyAlignment="1">
      <alignment horizontal="center"/>
    </xf>
    <xf numFmtId="0" fontId="6" fillId="4" borderId="0" xfId="0" applyFont="1" applyFill="1"/>
    <xf numFmtId="7" fontId="6" fillId="9" borderId="16" xfId="2" applyNumberFormat="1" applyFont="1" applyFill="1" applyBorder="1" applyAlignment="1" applyProtection="1">
      <alignment horizontal="center"/>
    </xf>
    <xf numFmtId="166" fontId="6" fillId="9" borderId="2" xfId="1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center" vertical="top" wrapText="1"/>
    </xf>
    <xf numFmtId="0" fontId="21" fillId="9" borderId="2" xfId="1" applyNumberFormat="1" applyFont="1" applyFill="1" applyBorder="1" applyAlignment="1" applyProtection="1">
      <alignment horizontal="center" vertical="center"/>
    </xf>
    <xf numFmtId="7" fontId="21" fillId="9" borderId="2" xfId="2" applyNumberFormat="1" applyFont="1" applyFill="1" applyBorder="1" applyAlignment="1" applyProtection="1">
      <alignment horizontal="center"/>
    </xf>
    <xf numFmtId="0" fontId="15" fillId="4" borderId="8" xfId="0" applyFont="1" applyFill="1" applyBorder="1" applyAlignment="1">
      <alignment horizontal="left"/>
    </xf>
    <xf numFmtId="0" fontId="21" fillId="13" borderId="21" xfId="1" applyNumberFormat="1" applyFont="1" applyFill="1" applyBorder="1" applyAlignment="1" applyProtection="1">
      <alignment horizontal="center" vertical="center"/>
    </xf>
    <xf numFmtId="7" fontId="21" fillId="13" borderId="21" xfId="2" applyNumberFormat="1" applyFont="1" applyFill="1" applyBorder="1" applyAlignment="1" applyProtection="1">
      <alignment horizontal="center"/>
    </xf>
    <xf numFmtId="0" fontId="37" fillId="4" borderId="0" xfId="0" applyFont="1" applyFill="1"/>
    <xf numFmtId="49" fontId="9" fillId="0" borderId="0" xfId="0" applyNumberFormat="1" applyFont="1" applyAlignment="1">
      <alignment vertical="top" wrapText="1"/>
    </xf>
    <xf numFmtId="49" fontId="21" fillId="0" borderId="0" xfId="0" applyNumberFormat="1" applyFont="1" applyAlignment="1">
      <alignment vertical="top" wrapText="1"/>
    </xf>
    <xf numFmtId="169" fontId="21" fillId="9" borderId="9" xfId="2" applyNumberFormat="1" applyFont="1" applyFill="1" applyBorder="1" applyAlignment="1" applyProtection="1">
      <alignment horizontal="center" vertical="center"/>
    </xf>
    <xf numFmtId="169" fontId="21" fillId="0" borderId="16" xfId="2" applyNumberFormat="1" applyFont="1" applyBorder="1" applyAlignment="1" applyProtection="1">
      <alignment horizontal="center" vertical="center"/>
    </xf>
    <xf numFmtId="167" fontId="21" fillId="0" borderId="0" xfId="0" applyNumberFormat="1" applyFont="1" applyAlignment="1">
      <alignment horizontal="left"/>
    </xf>
    <xf numFmtId="0" fontId="22" fillId="4" borderId="0" xfId="0" applyFont="1" applyFill="1"/>
    <xf numFmtId="0" fontId="21" fillId="0" borderId="1" xfId="0" applyFont="1" applyBorder="1" applyProtection="1">
      <protection locked="0"/>
    </xf>
    <xf numFmtId="44" fontId="21" fillId="4" borderId="0" xfId="0" applyNumberFormat="1" applyFont="1" applyFill="1"/>
    <xf numFmtId="3" fontId="21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5" fillId="0" borderId="8" xfId="0" applyFont="1" applyBorder="1" applyAlignment="1">
      <alignment horizontal="right"/>
    </xf>
    <xf numFmtId="0" fontId="9" fillId="14" borderId="0" xfId="0" applyFont="1" applyFill="1"/>
    <xf numFmtId="0" fontId="18" fillId="5" borderId="59" xfId="0" applyFont="1" applyFill="1" applyBorder="1" applyAlignment="1" applyProtection="1">
      <alignment horizontal="center"/>
      <protection locked="0"/>
    </xf>
    <xf numFmtId="0" fontId="14" fillId="15" borderId="0" xfId="0" applyFont="1" applyFill="1"/>
    <xf numFmtId="0" fontId="4" fillId="14" borderId="70" xfId="0" applyFont="1" applyFill="1" applyBorder="1"/>
    <xf numFmtId="0" fontId="4" fillId="14" borderId="73" xfId="0" applyFont="1" applyFill="1" applyBorder="1"/>
    <xf numFmtId="0" fontId="4" fillId="14" borderId="77" xfId="0" applyFont="1" applyFill="1" applyBorder="1"/>
    <xf numFmtId="0" fontId="9" fillId="14" borderId="78" xfId="0" applyFont="1" applyFill="1" applyBorder="1"/>
    <xf numFmtId="0" fontId="34" fillId="14" borderId="70" xfId="0" applyFont="1" applyFill="1" applyBorder="1" applyAlignment="1">
      <alignment horizontal="right"/>
    </xf>
    <xf numFmtId="0" fontId="34" fillId="14" borderId="73" xfId="0" applyFont="1" applyFill="1" applyBorder="1" applyAlignment="1">
      <alignment horizontal="right"/>
    </xf>
    <xf numFmtId="0" fontId="34" fillId="14" borderId="77" xfId="0" applyFont="1" applyFill="1" applyBorder="1" applyAlignment="1">
      <alignment horizontal="right"/>
    </xf>
    <xf numFmtId="0" fontId="28" fillId="0" borderId="0" xfId="0" applyFont="1"/>
    <xf numFmtId="49" fontId="53" fillId="9" borderId="0" xfId="0" applyNumberFormat="1" applyFont="1" applyFill="1" applyAlignment="1">
      <alignment horizontal="center"/>
    </xf>
    <xf numFmtId="49" fontId="4" fillId="9" borderId="0" xfId="0" applyNumberFormat="1" applyFont="1" applyFill="1"/>
    <xf numFmtId="49" fontId="4" fillId="9" borderId="0" xfId="2" applyNumberFormat="1" applyFont="1" applyFill="1"/>
    <xf numFmtId="49" fontId="4" fillId="4" borderId="0" xfId="0" applyNumberFormat="1" applyFont="1" applyFill="1"/>
    <xf numFmtId="0" fontId="4" fillId="0" borderId="2" xfId="0" applyFont="1" applyBorder="1" applyAlignment="1">
      <alignment horizontal="center"/>
    </xf>
    <xf numFmtId="49" fontId="4" fillId="0" borderId="0" xfId="0" applyNumberFormat="1" applyFont="1" applyAlignment="1" applyProtection="1">
      <alignment horizontal="right"/>
      <protection locked="0"/>
    </xf>
    <xf numFmtId="49" fontId="4" fillId="0" borderId="0" xfId="2" applyNumberFormat="1" applyFont="1" applyFill="1"/>
    <xf numFmtId="0" fontId="4" fillId="0" borderId="25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1" fillId="0" borderId="0" xfId="0" applyFont="1" applyAlignment="1">
      <alignment horizontal="center" vertical="center"/>
    </xf>
    <xf numFmtId="169" fontId="6" fillId="9" borderId="21" xfId="2" applyNumberFormat="1" applyFont="1" applyFill="1" applyBorder="1" applyAlignment="1" applyProtection="1"/>
    <xf numFmtId="0" fontId="10" fillId="0" borderId="89" xfId="0" applyFont="1" applyBorder="1"/>
    <xf numFmtId="1" fontId="40" fillId="7" borderId="21" xfId="2" applyNumberFormat="1" applyFont="1" applyFill="1" applyBorder="1" applyProtection="1"/>
    <xf numFmtId="1" fontId="40" fillId="7" borderId="2" xfId="2" applyNumberFormat="1" applyFont="1" applyFill="1" applyBorder="1" applyAlignment="1" applyProtection="1">
      <alignment horizontal="center" vertical="center"/>
    </xf>
    <xf numFmtId="0" fontId="21" fillId="4" borderId="2" xfId="0" applyFont="1" applyFill="1" applyBorder="1" applyAlignment="1" applyProtection="1">
      <alignment horizontal="center" vertical="center"/>
      <protection locked="0"/>
    </xf>
    <xf numFmtId="0" fontId="56" fillId="0" borderId="19" xfId="0" applyFont="1" applyBorder="1" applyAlignment="1">
      <alignment vertical="center"/>
    </xf>
    <xf numFmtId="0" fontId="56" fillId="0" borderId="23" xfId="0" applyFont="1" applyBorder="1" applyAlignment="1">
      <alignment vertical="center"/>
    </xf>
    <xf numFmtId="0" fontId="50" fillId="0" borderId="0" xfId="0" applyFont="1" applyAlignment="1">
      <alignment vertical="center"/>
    </xf>
    <xf numFmtId="1" fontId="21" fillId="6" borderId="2" xfId="1" applyNumberFormat="1" applyFont="1" applyFill="1" applyBorder="1" applyAlignment="1" applyProtection="1">
      <alignment horizontal="center"/>
    </xf>
    <xf numFmtId="1" fontId="21" fillId="6" borderId="2" xfId="0" applyNumberFormat="1" applyFont="1" applyFill="1" applyBorder="1" applyAlignment="1">
      <alignment horizontal="center"/>
    </xf>
    <xf numFmtId="1" fontId="21" fillId="17" borderId="2" xfId="1" applyNumberFormat="1" applyFont="1" applyFill="1" applyBorder="1" applyAlignment="1" applyProtection="1">
      <alignment horizontal="center"/>
    </xf>
    <xf numFmtId="1" fontId="21" fillId="17" borderId="2" xfId="0" applyNumberFormat="1" applyFont="1" applyFill="1" applyBorder="1" applyAlignment="1">
      <alignment horizontal="center"/>
    </xf>
    <xf numFmtId="1" fontId="21" fillId="18" borderId="21" xfId="1" applyNumberFormat="1" applyFont="1" applyFill="1" applyBorder="1" applyAlignment="1" applyProtection="1">
      <alignment horizontal="center"/>
    </xf>
    <xf numFmtId="1" fontId="21" fillId="18" borderId="21" xfId="0" applyNumberFormat="1" applyFont="1" applyFill="1" applyBorder="1" applyAlignment="1">
      <alignment horizontal="center"/>
    </xf>
    <xf numFmtId="0" fontId="14" fillId="15" borderId="92" xfId="0" applyFont="1" applyFill="1" applyBorder="1"/>
    <xf numFmtId="166" fontId="6" fillId="20" borderId="2" xfId="1" applyNumberFormat="1" applyFont="1" applyFill="1" applyBorder="1" applyAlignment="1" applyProtection="1">
      <alignment horizontal="center" vertical="center"/>
    </xf>
    <xf numFmtId="7" fontId="6" fillId="20" borderId="16" xfId="2" applyNumberFormat="1" applyFont="1" applyFill="1" applyBorder="1" applyAlignment="1" applyProtection="1">
      <alignment horizontal="center"/>
    </xf>
    <xf numFmtId="166" fontId="6" fillId="0" borderId="2" xfId="1" applyNumberFormat="1" applyFont="1" applyFill="1" applyBorder="1" applyAlignment="1" applyProtection="1">
      <alignment horizontal="center" vertical="center"/>
    </xf>
    <xf numFmtId="7" fontId="6" fillId="0" borderId="16" xfId="2" applyNumberFormat="1" applyFont="1" applyFill="1" applyBorder="1" applyAlignment="1" applyProtection="1">
      <alignment horizontal="center"/>
    </xf>
    <xf numFmtId="0" fontId="41" fillId="19" borderId="61" xfId="0" applyFont="1" applyFill="1" applyBorder="1" applyAlignment="1">
      <alignment horizontal="center"/>
    </xf>
    <xf numFmtId="0" fontId="21" fillId="9" borderId="2" xfId="0" applyFont="1" applyFill="1" applyBorder="1" applyAlignment="1">
      <alignment horizontal="center" vertical="center"/>
    </xf>
    <xf numFmtId="0" fontId="9" fillId="0" borderId="61" xfId="0" applyFont="1" applyBorder="1" applyAlignment="1">
      <alignment horizontal="right"/>
    </xf>
    <xf numFmtId="0" fontId="9" fillId="0" borderId="63" xfId="0" applyFont="1" applyBorder="1" applyAlignment="1">
      <alignment horizontal="right"/>
    </xf>
    <xf numFmtId="0" fontId="9" fillId="0" borderId="62" xfId="0" applyFont="1" applyBorder="1" applyAlignment="1">
      <alignment horizontal="right"/>
    </xf>
    <xf numFmtId="0" fontId="4" fillId="4" borderId="52" xfId="0" applyFont="1" applyFill="1" applyBorder="1"/>
    <xf numFmtId="0" fontId="9" fillId="4" borderId="67" xfId="0" applyFont="1" applyFill="1" applyBorder="1" applyAlignment="1">
      <alignment horizontal="right"/>
    </xf>
    <xf numFmtId="0" fontId="9" fillId="4" borderId="12" xfId="0" applyFont="1" applyFill="1" applyBorder="1" applyAlignment="1">
      <alignment horizontal="right"/>
    </xf>
    <xf numFmtId="0" fontId="4" fillId="4" borderId="11" xfId="0" applyFont="1" applyFill="1" applyBorder="1"/>
    <xf numFmtId="4" fontId="4" fillId="4" borderId="11" xfId="0" applyNumberFormat="1" applyFont="1" applyFill="1" applyBorder="1"/>
    <xf numFmtId="0" fontId="4" fillId="0" borderId="11" xfId="0" applyFont="1" applyBorder="1"/>
    <xf numFmtId="0" fontId="22" fillId="0" borderId="53" xfId="0" applyFont="1" applyBorder="1" applyAlignment="1">
      <alignment horizontal="center"/>
    </xf>
    <xf numFmtId="4" fontId="22" fillId="0" borderId="53" xfId="0" applyNumberFormat="1" applyFont="1" applyBorder="1" applyAlignment="1">
      <alignment horizontal="center"/>
    </xf>
    <xf numFmtId="0" fontId="22" fillId="0" borderId="90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22" fillId="16" borderId="53" xfId="0" applyFont="1" applyFill="1" applyBorder="1" applyAlignment="1">
      <alignment horizontal="center"/>
    </xf>
    <xf numFmtId="0" fontId="22" fillId="16" borderId="55" xfId="0" applyFont="1" applyFill="1" applyBorder="1" applyAlignment="1">
      <alignment horizontal="center"/>
    </xf>
    <xf numFmtId="49" fontId="9" fillId="0" borderId="89" xfId="0" applyNumberFormat="1" applyFont="1" applyBorder="1" applyAlignment="1">
      <alignment horizontal="center"/>
    </xf>
    <xf numFmtId="1" fontId="10" fillId="0" borderId="53" xfId="0" applyNumberFormat="1" applyFont="1" applyBorder="1" applyAlignment="1">
      <alignment horizontal="center"/>
    </xf>
    <xf numFmtId="165" fontId="10" fillId="0" borderId="53" xfId="0" applyNumberFormat="1" applyFont="1" applyBorder="1" applyAlignment="1">
      <alignment horizontal="center"/>
    </xf>
    <xf numFmtId="0" fontId="10" fillId="0" borderId="53" xfId="0" applyFont="1" applyBorder="1" applyAlignment="1">
      <alignment horizontal="center" vertical="center"/>
    </xf>
    <xf numFmtId="49" fontId="9" fillId="0" borderId="47" xfId="0" applyNumberFormat="1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10" fillId="0" borderId="49" xfId="0" applyFont="1" applyBorder="1" applyAlignment="1" applyProtection="1">
      <alignment horizontal="center"/>
      <protection locked="0"/>
    </xf>
    <xf numFmtId="49" fontId="6" fillId="0" borderId="41" xfId="0" applyNumberFormat="1" applyFont="1" applyBorder="1" applyAlignment="1">
      <alignment horizontal="center"/>
    </xf>
    <xf numFmtId="49" fontId="6" fillId="0" borderId="42" xfId="0" applyNumberFormat="1" applyFont="1" applyBorder="1" applyAlignment="1">
      <alignment horizontal="left"/>
    </xf>
    <xf numFmtId="49" fontId="10" fillId="0" borderId="49" xfId="2" applyNumberFormat="1" applyFont="1" applyBorder="1" applyAlignment="1" applyProtection="1">
      <alignment horizontal="center"/>
    </xf>
    <xf numFmtId="49" fontId="10" fillId="0" borderId="42" xfId="2" applyNumberFormat="1" applyFont="1" applyBorder="1" applyAlignment="1" applyProtection="1">
      <alignment horizontal="center"/>
    </xf>
    <xf numFmtId="49" fontId="10" fillId="0" borderId="42" xfId="0" applyNumberFormat="1" applyFont="1" applyBorder="1" applyAlignment="1">
      <alignment horizontal="center"/>
    </xf>
    <xf numFmtId="49" fontId="10" fillId="0" borderId="97" xfId="0" applyNumberFormat="1" applyFont="1" applyBorder="1" applyAlignment="1">
      <alignment horizontal="center"/>
    </xf>
    <xf numFmtId="49" fontId="9" fillId="0" borderId="43" xfId="0" applyNumberFormat="1" applyFont="1" applyBorder="1" applyAlignment="1">
      <alignment horizontal="center"/>
    </xf>
    <xf numFmtId="49" fontId="6" fillId="0" borderId="49" xfId="0" applyNumberFormat="1" applyFont="1" applyBorder="1" applyAlignment="1">
      <alignment horizontal="center"/>
    </xf>
    <xf numFmtId="44" fontId="10" fillId="0" borderId="42" xfId="2" applyFont="1" applyBorder="1" applyAlignment="1" applyProtection="1">
      <alignment horizontal="center"/>
    </xf>
    <xf numFmtId="0" fontId="18" fillId="4" borderId="59" xfId="0" applyFont="1" applyFill="1" applyBorder="1" applyAlignment="1">
      <alignment horizontal="center"/>
    </xf>
    <xf numFmtId="0" fontId="9" fillId="4" borderId="25" xfId="0" applyFont="1" applyFill="1" applyBorder="1"/>
    <xf numFmtId="1" fontId="40" fillId="7" borderId="36" xfId="2" applyNumberFormat="1" applyFont="1" applyFill="1" applyBorder="1" applyAlignment="1" applyProtection="1">
      <alignment horizontal="center" vertical="center"/>
    </xf>
    <xf numFmtId="49" fontId="41" fillId="0" borderId="44" xfId="0" applyNumberFormat="1" applyFont="1" applyBorder="1" applyAlignment="1">
      <alignment horizontal="left" vertical="center"/>
    </xf>
    <xf numFmtId="49" fontId="41" fillId="0" borderId="44" xfId="2" applyNumberFormat="1" applyFont="1" applyBorder="1" applyAlignment="1" applyProtection="1">
      <alignment horizontal="center" vertical="center"/>
    </xf>
    <xf numFmtId="49" fontId="41" fillId="0" borderId="44" xfId="0" applyNumberFormat="1" applyFont="1" applyBorder="1" applyAlignment="1">
      <alignment horizontal="center" vertical="center"/>
    </xf>
    <xf numFmtId="49" fontId="41" fillId="4" borderId="44" xfId="0" applyNumberFormat="1" applyFont="1" applyFill="1" applyBorder="1" applyAlignment="1">
      <alignment horizontal="center" vertical="center"/>
    </xf>
    <xf numFmtId="49" fontId="41" fillId="0" borderId="48" xfId="0" applyNumberFormat="1" applyFont="1" applyBorder="1" applyAlignment="1">
      <alignment vertical="center"/>
    </xf>
    <xf numFmtId="49" fontId="41" fillId="0" borderId="48" xfId="0" applyNumberFormat="1" applyFont="1" applyBorder="1" applyAlignment="1">
      <alignment horizontal="center" vertical="center"/>
    </xf>
    <xf numFmtId="0" fontId="44" fillId="0" borderId="94" xfId="0" applyFont="1" applyBorder="1"/>
    <xf numFmtId="0" fontId="9" fillId="0" borderId="0" xfId="0" applyFont="1" applyAlignment="1">
      <alignment vertical="center"/>
    </xf>
    <xf numFmtId="44" fontId="4" fillId="0" borderId="0" xfId="0" applyNumberFormat="1" applyFont="1"/>
    <xf numFmtId="0" fontId="4" fillId="4" borderId="12" xfId="0" applyFont="1" applyFill="1" applyBorder="1"/>
    <xf numFmtId="0" fontId="4" fillId="4" borderId="41" xfId="0" applyFont="1" applyFill="1" applyBorder="1" applyAlignment="1">
      <alignment horizontal="left"/>
    </xf>
    <xf numFmtId="0" fontId="4" fillId="4" borderId="13" xfId="0" applyFont="1" applyFill="1" applyBorder="1"/>
    <xf numFmtId="0" fontId="9" fillId="4" borderId="13" xfId="0" applyFont="1" applyFill="1" applyBorder="1"/>
    <xf numFmtId="0" fontId="9" fillId="0" borderId="10" xfId="0" applyFont="1" applyBorder="1" applyAlignment="1">
      <alignment horizontal="right"/>
    </xf>
    <xf numFmtId="0" fontId="9" fillId="0" borderId="67" xfId="0" applyFont="1" applyBorder="1" applyAlignment="1">
      <alignment horizontal="right"/>
    </xf>
    <xf numFmtId="0" fontId="40" fillId="0" borderId="1" xfId="0" applyFont="1" applyBorder="1" applyProtection="1">
      <protection locked="0"/>
    </xf>
    <xf numFmtId="0" fontId="18" fillId="4" borderId="59" xfId="0" applyFont="1" applyFill="1" applyBorder="1" applyAlignment="1" applyProtection="1">
      <alignment horizontal="center"/>
      <protection locked="0"/>
    </xf>
    <xf numFmtId="0" fontId="4" fillId="4" borderId="49" xfId="0" applyFont="1" applyFill="1" applyBorder="1" applyProtection="1">
      <protection locked="0"/>
    </xf>
    <xf numFmtId="0" fontId="4" fillId="4" borderId="13" xfId="0" applyFont="1" applyFill="1" applyBorder="1" applyProtection="1">
      <protection locked="0"/>
    </xf>
    <xf numFmtId="49" fontId="9" fillId="0" borderId="61" xfId="0" applyNumberFormat="1" applyFont="1" applyBorder="1" applyAlignment="1">
      <alignment horizontal="right"/>
    </xf>
    <xf numFmtId="49" fontId="9" fillId="0" borderId="63" xfId="0" applyNumberFormat="1" applyFont="1" applyBorder="1" applyAlignment="1">
      <alignment horizontal="right"/>
    </xf>
    <xf numFmtId="49" fontId="9" fillId="0" borderId="62" xfId="0" applyNumberFormat="1" applyFont="1" applyBorder="1" applyAlignment="1">
      <alignment horizontal="right"/>
    </xf>
    <xf numFmtId="0" fontId="4" fillId="4" borderId="49" xfId="0" applyFont="1" applyFill="1" applyBorder="1" applyAlignment="1" applyProtection="1">
      <alignment horizontal="left"/>
      <protection locked="0"/>
    </xf>
    <xf numFmtId="0" fontId="10" fillId="4" borderId="13" xfId="0" applyFont="1" applyFill="1" applyBorder="1"/>
    <xf numFmtId="0" fontId="6" fillId="0" borderId="13" xfId="0" applyFont="1" applyBorder="1"/>
    <xf numFmtId="49" fontId="4" fillId="4" borderId="66" xfId="0" applyNumberFormat="1" applyFont="1" applyFill="1" applyBorder="1" applyAlignment="1">
      <alignment horizontal="left"/>
    </xf>
    <xf numFmtId="49" fontId="4" fillId="4" borderId="38" xfId="0" applyNumberFormat="1" applyFont="1" applyFill="1" applyBorder="1" applyAlignment="1">
      <alignment horizontal="left"/>
    </xf>
    <xf numFmtId="0" fontId="9" fillId="0" borderId="67" xfId="0" applyFont="1" applyBorder="1"/>
    <xf numFmtId="0" fontId="9" fillId="0" borderId="12" xfId="0" applyFont="1" applyBorder="1"/>
    <xf numFmtId="0" fontId="4" fillId="4" borderId="33" xfId="0" applyFont="1" applyFill="1" applyBorder="1"/>
    <xf numFmtId="169" fontId="4" fillId="4" borderId="0" xfId="0" applyNumberFormat="1" applyFont="1" applyFill="1" applyAlignment="1">
      <alignment horizontal="center" vertical="center"/>
    </xf>
    <xf numFmtId="0" fontId="14" fillId="4" borderId="61" xfId="0" applyFont="1" applyFill="1" applyBorder="1" applyAlignment="1">
      <alignment horizontal="right"/>
    </xf>
    <xf numFmtId="49" fontId="4" fillId="4" borderId="64" xfId="0" applyNumberFormat="1" applyFont="1" applyFill="1" applyBorder="1" applyAlignment="1">
      <alignment horizontal="left"/>
    </xf>
    <xf numFmtId="0" fontId="9" fillId="0" borderId="56" xfId="0" applyFont="1" applyBorder="1" applyAlignment="1">
      <alignment horizontal="right"/>
    </xf>
    <xf numFmtId="0" fontId="9" fillId="0" borderId="57" xfId="0" applyFont="1" applyBorder="1" applyAlignment="1">
      <alignment horizontal="right"/>
    </xf>
    <xf numFmtId="0" fontId="9" fillId="0" borderId="58" xfId="0" applyFont="1" applyBorder="1" applyAlignment="1">
      <alignment horizontal="right"/>
    </xf>
    <xf numFmtId="0" fontId="14" fillId="4" borderId="58" xfId="0" applyFont="1" applyFill="1" applyBorder="1" applyAlignment="1">
      <alignment horizontal="right"/>
    </xf>
    <xf numFmtId="0" fontId="22" fillId="0" borderId="22" xfId="0" applyFont="1" applyBorder="1" applyAlignment="1">
      <alignment horizontal="center"/>
    </xf>
    <xf numFmtId="49" fontId="41" fillId="19" borderId="62" xfId="0" applyNumberFormat="1" applyFont="1" applyFill="1" applyBorder="1" applyAlignment="1">
      <alignment horizontal="center"/>
    </xf>
    <xf numFmtId="0" fontId="11" fillId="4" borderId="0" xfId="0" applyFont="1" applyFill="1" applyAlignment="1">
      <alignment horizontal="left"/>
    </xf>
    <xf numFmtId="37" fontId="9" fillId="4" borderId="37" xfId="0" applyNumberFormat="1" applyFont="1" applyFill="1" applyBorder="1" applyAlignment="1">
      <alignment horizontal="center"/>
    </xf>
    <xf numFmtId="169" fontId="9" fillId="4" borderId="35" xfId="0" applyNumberFormat="1" applyFont="1" applyFill="1" applyBorder="1" applyAlignment="1">
      <alignment horizontal="center" vertical="center"/>
    </xf>
    <xf numFmtId="0" fontId="9" fillId="22" borderId="9" xfId="0" applyFont="1" applyFill="1" applyBorder="1" applyAlignment="1">
      <alignment horizontal="center"/>
    </xf>
    <xf numFmtId="0" fontId="36" fillId="11" borderId="0" xfId="0" applyFont="1" applyFill="1" applyAlignment="1">
      <alignment horizontal="center"/>
    </xf>
    <xf numFmtId="0" fontId="39" fillId="3" borderId="0" xfId="0" applyFont="1" applyFill="1" applyAlignment="1">
      <alignment horizontal="right" vertical="center"/>
    </xf>
    <xf numFmtId="0" fontId="39" fillId="3" borderId="24" xfId="0" applyFont="1" applyFill="1" applyBorder="1" applyAlignment="1">
      <alignment horizontal="right" vertical="center"/>
    </xf>
    <xf numFmtId="0" fontId="14" fillId="15" borderId="67" xfId="0" applyFont="1" applyFill="1" applyBorder="1"/>
    <xf numFmtId="0" fontId="14" fillId="15" borderId="98" xfId="0" applyFont="1" applyFill="1" applyBorder="1"/>
    <xf numFmtId="0" fontId="39" fillId="3" borderId="67" xfId="0" applyFont="1" applyFill="1" applyBorder="1" applyAlignment="1">
      <alignment horizontal="right" vertical="center"/>
    </xf>
    <xf numFmtId="49" fontId="27" fillId="0" borderId="0" xfId="0" applyNumberFormat="1" applyFont="1"/>
    <xf numFmtId="49" fontId="10" fillId="0" borderId="54" xfId="0" applyNumberFormat="1" applyFont="1" applyBorder="1" applyAlignment="1">
      <alignment horizontal="center"/>
    </xf>
    <xf numFmtId="0" fontId="9" fillId="0" borderId="89" xfId="0" applyFont="1" applyBorder="1" applyAlignment="1">
      <alignment horizontal="center"/>
    </xf>
    <xf numFmtId="0" fontId="10" fillId="0" borderId="20" xfId="0" applyFont="1" applyBorder="1"/>
    <xf numFmtId="49" fontId="10" fillId="0" borderId="28" xfId="0" applyNumberFormat="1" applyFont="1" applyBorder="1"/>
    <xf numFmtId="49" fontId="10" fillId="0" borderId="47" xfId="0" applyNumberFormat="1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25" fillId="0" borderId="56" xfId="0" applyFont="1" applyBorder="1"/>
    <xf numFmtId="1" fontId="6" fillId="9" borderId="2" xfId="0" applyNumberFormat="1" applyFont="1" applyFill="1" applyBorder="1" applyAlignment="1">
      <alignment horizontal="center"/>
    </xf>
    <xf numFmtId="169" fontId="6" fillId="9" borderId="32" xfId="0" applyNumberFormat="1" applyFont="1" applyFill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/>
    </xf>
    <xf numFmtId="169" fontId="6" fillId="0" borderId="32" xfId="0" applyNumberFormat="1" applyFont="1" applyBorder="1" applyAlignment="1">
      <alignment horizontal="center" vertical="center"/>
    </xf>
    <xf numFmtId="0" fontId="6" fillId="0" borderId="33" xfId="0" applyFont="1" applyBorder="1"/>
    <xf numFmtId="3" fontId="10" fillId="0" borderId="25" xfId="0" applyNumberFormat="1" applyFont="1" applyBorder="1" applyAlignment="1">
      <alignment horizontal="center"/>
    </xf>
    <xf numFmtId="169" fontId="10" fillId="0" borderId="35" xfId="0" applyNumberFormat="1" applyFont="1" applyBorder="1" applyAlignment="1">
      <alignment horizontal="center" vertical="center"/>
    </xf>
    <xf numFmtId="0" fontId="6" fillId="0" borderId="58" xfId="0" applyFont="1" applyBorder="1"/>
    <xf numFmtId="49" fontId="10" fillId="0" borderId="54" xfId="0" applyNumberFormat="1" applyFont="1" applyBorder="1"/>
    <xf numFmtId="1" fontId="40" fillId="8" borderId="2" xfId="0" applyNumberFormat="1" applyFont="1" applyFill="1" applyBorder="1" applyAlignment="1">
      <alignment horizontal="center" vertical="center"/>
    </xf>
    <xf numFmtId="0" fontId="21" fillId="9" borderId="2" xfId="0" applyFont="1" applyFill="1" applyBorder="1" applyAlignment="1">
      <alignment horizontal="center"/>
    </xf>
    <xf numFmtId="0" fontId="21" fillId="4" borderId="2" xfId="0" applyFont="1" applyFill="1" applyBorder="1" applyAlignment="1">
      <alignment horizontal="center"/>
    </xf>
    <xf numFmtId="49" fontId="4" fillId="9" borderId="1" xfId="0" applyNumberFormat="1" applyFont="1" applyFill="1" applyBorder="1" applyAlignment="1">
      <alignment horizontal="left"/>
    </xf>
    <xf numFmtId="49" fontId="4" fillId="9" borderId="9" xfId="0" applyNumberFormat="1" applyFont="1" applyFill="1" applyBorder="1" applyAlignment="1">
      <alignment horizontal="center"/>
    </xf>
    <xf numFmtId="1" fontId="4" fillId="7" borderId="21" xfId="0" applyNumberFormat="1" applyFont="1" applyFill="1" applyBorder="1" applyAlignment="1">
      <alignment horizontal="center"/>
    </xf>
    <xf numFmtId="3" fontId="4" fillId="9" borderId="9" xfId="0" applyNumberFormat="1" applyFont="1" applyFill="1" applyBorder="1" applyAlignment="1">
      <alignment horizontal="center"/>
    </xf>
    <xf numFmtId="169" fontId="4" fillId="9" borderId="9" xfId="0" applyNumberFormat="1" applyFont="1" applyFill="1" applyBorder="1" applyAlignment="1">
      <alignment horizontal="center"/>
    </xf>
    <xf numFmtId="0" fontId="4" fillId="0" borderId="32" xfId="0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left"/>
    </xf>
    <xf numFmtId="49" fontId="4" fillId="0" borderId="16" xfId="0" applyNumberFormat="1" applyFont="1" applyBorder="1" applyAlignment="1">
      <alignment horizontal="center"/>
    </xf>
    <xf numFmtId="1" fontId="4" fillId="7" borderId="2" xfId="0" applyNumberFormat="1" applyFont="1" applyFill="1" applyBorder="1" applyAlignment="1">
      <alignment horizontal="center"/>
    </xf>
    <xf numFmtId="3" fontId="4" fillId="0" borderId="16" xfId="0" applyNumberFormat="1" applyFont="1" applyBorder="1" applyAlignment="1">
      <alignment horizontal="center"/>
    </xf>
    <xf numFmtId="169" fontId="4" fillId="0" borderId="16" xfId="0" applyNumberFormat="1" applyFont="1" applyBorder="1" applyAlignment="1">
      <alignment horizontal="center"/>
    </xf>
    <xf numFmtId="49" fontId="4" fillId="9" borderId="14" xfId="0" applyNumberFormat="1" applyFont="1" applyFill="1" applyBorder="1" applyAlignment="1">
      <alignment horizontal="left"/>
    </xf>
    <xf numFmtId="49" fontId="4" fillId="9" borderId="16" xfId="0" applyNumberFormat="1" applyFont="1" applyFill="1" applyBorder="1" applyAlignment="1">
      <alignment horizontal="center"/>
    </xf>
    <xf numFmtId="3" fontId="4" fillId="9" borderId="16" xfId="0" applyNumberFormat="1" applyFont="1" applyFill="1" applyBorder="1" applyAlignment="1">
      <alignment horizontal="center"/>
    </xf>
    <xf numFmtId="169" fontId="4" fillId="9" borderId="16" xfId="0" applyNumberFormat="1" applyFont="1" applyFill="1" applyBorder="1" applyAlignment="1">
      <alignment horizontal="center"/>
    </xf>
    <xf numFmtId="49" fontId="4" fillId="9" borderId="6" xfId="0" applyNumberFormat="1" applyFont="1" applyFill="1" applyBorder="1" applyAlignment="1">
      <alignment horizontal="left"/>
    </xf>
    <xf numFmtId="49" fontId="4" fillId="9" borderId="5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3" fontId="4" fillId="9" borderId="5" xfId="0" applyNumberFormat="1" applyFont="1" applyFill="1" applyBorder="1" applyAlignment="1">
      <alignment horizontal="center"/>
    </xf>
    <xf numFmtId="169" fontId="4" fillId="9" borderId="5" xfId="0" applyNumberFormat="1" applyFont="1" applyFill="1" applyBorder="1" applyAlignment="1">
      <alignment horizontal="center"/>
    </xf>
    <xf numFmtId="0" fontId="4" fillId="0" borderId="68" xfId="0" applyFont="1" applyBorder="1" applyAlignment="1">
      <alignment horizontal="center" vertical="center"/>
    </xf>
    <xf numFmtId="49" fontId="4" fillId="9" borderId="54" xfId="0" applyNumberFormat="1" applyFont="1" applyFill="1" applyBorder="1" applyAlignment="1">
      <alignment horizontal="left"/>
    </xf>
    <xf numFmtId="0" fontId="4" fillId="9" borderId="53" xfId="0" applyFont="1" applyFill="1" applyBorder="1" applyAlignment="1">
      <alignment horizontal="center"/>
    </xf>
    <xf numFmtId="0" fontId="4" fillId="7" borderId="55" xfId="0" applyFont="1" applyFill="1" applyBorder="1" applyAlignment="1">
      <alignment horizontal="center"/>
    </xf>
    <xf numFmtId="1" fontId="4" fillId="9" borderId="53" xfId="0" quotePrefix="1" applyNumberFormat="1" applyFont="1" applyFill="1" applyBorder="1" applyAlignment="1">
      <alignment horizontal="center"/>
    </xf>
    <xf numFmtId="169" fontId="4" fillId="9" borderId="55" xfId="0" applyNumberFormat="1" applyFont="1" applyFill="1" applyBorder="1" applyAlignment="1">
      <alignment horizontal="center"/>
    </xf>
    <xf numFmtId="0" fontId="4" fillId="0" borderId="90" xfId="0" applyFont="1" applyBorder="1" applyAlignment="1">
      <alignment horizontal="center" vertical="center"/>
    </xf>
    <xf numFmtId="0" fontId="9" fillId="6" borderId="13" xfId="0" applyFont="1" applyFill="1" applyBorder="1"/>
    <xf numFmtId="3" fontId="9" fillId="4" borderId="62" xfId="0" applyNumberFormat="1" applyFont="1" applyFill="1" applyBorder="1" applyAlignment="1">
      <alignment horizontal="center"/>
    </xf>
    <xf numFmtId="0" fontId="4" fillId="0" borderId="97" xfId="0" applyFont="1" applyBorder="1" applyAlignment="1">
      <alignment horizontal="center" vertical="center"/>
    </xf>
    <xf numFmtId="0" fontId="21" fillId="0" borderId="19" xfId="0" applyFont="1" applyBorder="1"/>
    <xf numFmtId="0" fontId="22" fillId="0" borderId="19" xfId="0" applyFont="1" applyBorder="1"/>
    <xf numFmtId="0" fontId="40" fillId="7" borderId="21" xfId="0" applyFont="1" applyFill="1" applyBorder="1"/>
    <xf numFmtId="1" fontId="40" fillId="7" borderId="21" xfId="0" applyNumberFormat="1" applyFont="1" applyFill="1" applyBorder="1"/>
    <xf numFmtId="3" fontId="21" fillId="9" borderId="9" xfId="0" applyNumberFormat="1" applyFont="1" applyFill="1" applyBorder="1" applyAlignment="1">
      <alignment horizontal="center"/>
    </xf>
    <xf numFmtId="0" fontId="40" fillId="7" borderId="2" xfId="0" applyFont="1" applyFill="1" applyBorder="1"/>
    <xf numFmtId="3" fontId="21" fillId="4" borderId="2" xfId="0" applyNumberFormat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49" fontId="10" fillId="0" borderId="28" xfId="0" applyNumberFormat="1" applyFont="1" applyBorder="1" applyAlignment="1">
      <alignment horizontal="center"/>
    </xf>
    <xf numFmtId="3" fontId="47" fillId="9" borderId="2" xfId="0" applyNumberFormat="1" applyFont="1" applyFill="1" applyBorder="1" applyAlignment="1">
      <alignment horizontal="center"/>
    </xf>
    <xf numFmtId="49" fontId="47" fillId="21" borderId="19" xfId="0" applyNumberFormat="1" applyFont="1" applyFill="1" applyBorder="1"/>
    <xf numFmtId="0" fontId="47" fillId="21" borderId="23" xfId="0" applyFont="1" applyFill="1" applyBorder="1"/>
    <xf numFmtId="0" fontId="47" fillId="21" borderId="19" xfId="0" applyFont="1" applyFill="1" applyBorder="1"/>
    <xf numFmtId="0" fontId="47" fillId="21" borderId="23" xfId="0" applyFont="1" applyFill="1" applyBorder="1" applyAlignment="1">
      <alignment horizontal="center" vertical="center"/>
    </xf>
    <xf numFmtId="0" fontId="47" fillId="21" borderId="59" xfId="0" applyFont="1" applyFill="1" applyBorder="1"/>
    <xf numFmtId="3" fontId="48" fillId="21" borderId="54" xfId="0" applyNumberFormat="1" applyFont="1" applyFill="1" applyBorder="1" applyAlignment="1">
      <alignment horizontal="center"/>
    </xf>
    <xf numFmtId="169" fontId="48" fillId="21" borderId="55" xfId="0" applyNumberFormat="1" applyFont="1" applyFill="1" applyBorder="1" applyAlignment="1">
      <alignment horizontal="center" vertical="center"/>
    </xf>
    <xf numFmtId="0" fontId="47" fillId="21" borderId="90" xfId="0" applyFont="1" applyFill="1" applyBorder="1"/>
    <xf numFmtId="49" fontId="6" fillId="0" borderId="2" xfId="0" applyNumberFormat="1" applyFont="1" applyBorder="1" applyAlignment="1">
      <alignment horizontal="center" vertical="center"/>
    </xf>
    <xf numFmtId="0" fontId="64" fillId="0" borderId="0" xfId="0" applyFont="1"/>
    <xf numFmtId="0" fontId="65" fillId="0" borderId="0" xfId="0" applyFont="1"/>
    <xf numFmtId="0" fontId="66" fillId="0" borderId="0" xfId="0" applyFont="1"/>
    <xf numFmtId="0" fontId="9" fillId="0" borderId="58" xfId="0" applyFont="1" applyBorder="1" applyAlignment="1">
      <alignment horizontal="center" vertical="top" wrapText="1"/>
    </xf>
    <xf numFmtId="1" fontId="60" fillId="0" borderId="67" xfId="0" applyNumberFormat="1" applyFont="1" applyBorder="1" applyAlignment="1">
      <alignment horizontal="center"/>
    </xf>
    <xf numFmtId="1" fontId="60" fillId="0" borderId="10" xfId="0" applyNumberFormat="1" applyFont="1" applyBorder="1" applyAlignment="1">
      <alignment horizontal="center"/>
    </xf>
    <xf numFmtId="0" fontId="61" fillId="0" borderId="44" xfId="0" applyFont="1" applyBorder="1" applyAlignment="1">
      <alignment horizontal="center"/>
    </xf>
    <xf numFmtId="0" fontId="61" fillId="0" borderId="48" xfId="0" applyFont="1" applyBorder="1" applyAlignment="1">
      <alignment horizontal="center"/>
    </xf>
    <xf numFmtId="49" fontId="62" fillId="0" borderId="44" xfId="1" applyNumberFormat="1" applyFont="1" applyFill="1" applyBorder="1" applyAlignment="1" applyProtection="1">
      <alignment horizontal="center"/>
    </xf>
    <xf numFmtId="0" fontId="61" fillId="0" borderId="94" xfId="0" applyFont="1" applyBorder="1" applyAlignment="1">
      <alignment horizontal="center"/>
    </xf>
    <xf numFmtId="1" fontId="63" fillId="27" borderId="21" xfId="1" applyNumberFormat="1" applyFont="1" applyFill="1" applyBorder="1" applyAlignment="1" applyProtection="1">
      <alignment horizontal="center"/>
    </xf>
    <xf numFmtId="1" fontId="63" fillId="27" borderId="21" xfId="0" applyNumberFormat="1" applyFont="1" applyFill="1" applyBorder="1" applyAlignment="1">
      <alignment horizontal="center"/>
    </xf>
    <xf numFmtId="1" fontId="63" fillId="0" borderId="2" xfId="0" applyNumberFormat="1" applyFont="1" applyBorder="1" applyAlignment="1" applyProtection="1">
      <alignment horizontal="center"/>
      <protection locked="0"/>
    </xf>
    <xf numFmtId="1" fontId="63" fillId="27" borderId="2" xfId="0" applyNumberFormat="1" applyFont="1" applyFill="1" applyBorder="1" applyAlignment="1">
      <alignment horizontal="center"/>
    </xf>
    <xf numFmtId="1" fontId="63" fillId="27" borderId="25" xfId="0" applyNumberFormat="1" applyFont="1" applyFill="1" applyBorder="1" applyAlignment="1">
      <alignment horizontal="center"/>
    </xf>
    <xf numFmtId="1" fontId="63" fillId="27" borderId="2" xfId="1" applyNumberFormat="1" applyFont="1" applyFill="1" applyBorder="1" applyAlignment="1" applyProtection="1">
      <alignment horizontal="center"/>
    </xf>
    <xf numFmtId="1" fontId="63" fillId="27" borderId="25" xfId="1" applyNumberFormat="1" applyFont="1" applyFill="1" applyBorder="1" applyAlignment="1" applyProtection="1">
      <alignment horizontal="center"/>
    </xf>
    <xf numFmtId="0" fontId="68" fillId="0" borderId="0" xfId="0" applyFont="1" applyAlignment="1">
      <alignment horizontal="right" vertical="center"/>
    </xf>
    <xf numFmtId="0" fontId="68" fillId="0" borderId="0" xfId="0" applyFont="1" applyAlignment="1">
      <alignment horizontal="center" vertical="center"/>
    </xf>
    <xf numFmtId="0" fontId="69" fillId="0" borderId="0" xfId="0" applyFont="1"/>
    <xf numFmtId="0" fontId="3" fillId="0" borderId="0" xfId="3" applyAlignment="1">
      <alignment horizontal="center"/>
    </xf>
    <xf numFmtId="0" fontId="3" fillId="0" borderId="0" xfId="3" applyAlignment="1">
      <alignment horizontal="left"/>
    </xf>
    <xf numFmtId="0" fontId="67" fillId="0" borderId="0" xfId="3" applyFont="1" applyAlignment="1">
      <alignment horizontal="center"/>
    </xf>
    <xf numFmtId="0" fontId="3" fillId="0" borderId="0" xfId="3" applyAlignment="1">
      <alignment horizontal="center" vertical="center"/>
    </xf>
    <xf numFmtId="0" fontId="3" fillId="12" borderId="0" xfId="3" applyFill="1" applyAlignment="1">
      <alignment vertical="center"/>
    </xf>
    <xf numFmtId="0" fontId="3" fillId="23" borderId="0" xfId="3" applyFill="1" applyAlignment="1">
      <alignment horizontal="center"/>
    </xf>
    <xf numFmtId="0" fontId="3" fillId="24" borderId="0" xfId="3" applyFill="1" applyAlignment="1">
      <alignment vertical="center"/>
    </xf>
    <xf numFmtId="0" fontId="3" fillId="25" borderId="0" xfId="3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1" fontId="40" fillId="9" borderId="21" xfId="0" applyNumberFormat="1" applyFont="1" applyFill="1" applyBorder="1" applyAlignment="1" applyProtection="1">
      <alignment horizontal="center"/>
      <protection locked="0"/>
    </xf>
    <xf numFmtId="1" fontId="40" fillId="4" borderId="2" xfId="0" applyNumberFormat="1" applyFont="1" applyFill="1" applyBorder="1" applyAlignment="1" applyProtection="1">
      <alignment horizontal="center"/>
      <protection locked="0"/>
    </xf>
    <xf numFmtId="49" fontId="10" fillId="0" borderId="53" xfId="0" applyNumberFormat="1" applyFont="1" applyBorder="1" applyAlignment="1">
      <alignment horizontal="center"/>
    </xf>
    <xf numFmtId="169" fontId="10" fillId="0" borderId="55" xfId="0" applyNumberFormat="1" applyFont="1" applyBorder="1" applyAlignment="1">
      <alignment horizontal="center" vertical="center"/>
    </xf>
    <xf numFmtId="0" fontId="10" fillId="4" borderId="55" xfId="0" applyFont="1" applyFill="1" applyBorder="1"/>
    <xf numFmtId="49" fontId="21" fillId="9" borderId="39" xfId="0" applyNumberFormat="1" applyFont="1" applyFill="1" applyBorder="1" applyAlignment="1" applyProtection="1">
      <alignment horizontal="center"/>
      <protection locked="0"/>
    </xf>
    <xf numFmtId="49" fontId="21" fillId="4" borderId="29" xfId="0" applyNumberFormat="1" applyFont="1" applyFill="1" applyBorder="1" applyAlignment="1" applyProtection="1">
      <alignment horizontal="center"/>
      <protection locked="0"/>
    </xf>
    <xf numFmtId="1" fontId="63" fillId="0" borderId="21" xfId="0" applyNumberFormat="1" applyFont="1" applyBorder="1" applyAlignment="1" applyProtection="1">
      <alignment horizontal="center"/>
      <protection locked="0"/>
    </xf>
    <xf numFmtId="168" fontId="4" fillId="4" borderId="0" xfId="0" applyNumberFormat="1" applyFont="1" applyFill="1"/>
    <xf numFmtId="1" fontId="4" fillId="4" borderId="0" xfId="0" applyNumberFormat="1" applyFont="1" applyFill="1"/>
    <xf numFmtId="0" fontId="4" fillId="4" borderId="0" xfId="0" applyFont="1" applyFill="1" applyAlignment="1">
      <alignment vertical="center"/>
    </xf>
    <xf numFmtId="3" fontId="4" fillId="4" borderId="0" xfId="0" applyNumberFormat="1" applyFont="1" applyFill="1" applyAlignment="1">
      <alignment horizontal="center"/>
    </xf>
    <xf numFmtId="4" fontId="4" fillId="0" borderId="0" xfId="0" applyNumberFormat="1" applyFont="1"/>
    <xf numFmtId="0" fontId="22" fillId="0" borderId="0" xfId="0" applyFont="1" applyAlignment="1">
      <alignment wrapText="1"/>
    </xf>
    <xf numFmtId="49" fontId="6" fillId="20" borderId="2" xfId="0" applyNumberFormat="1" applyFont="1" applyFill="1" applyBorder="1" applyAlignment="1" applyProtection="1">
      <alignment horizontal="center"/>
      <protection locked="0"/>
    </xf>
    <xf numFmtId="0" fontId="6" fillId="20" borderId="2" xfId="0" applyFont="1" applyFill="1" applyBorder="1" applyAlignment="1" applyProtection="1">
      <alignment horizontal="center"/>
      <protection locked="0"/>
    </xf>
    <xf numFmtId="1" fontId="6" fillId="20" borderId="2" xfId="0" applyNumberFormat="1" applyFont="1" applyFill="1" applyBorder="1" applyAlignment="1" applyProtection="1">
      <alignment horizontal="center"/>
      <protection locked="0"/>
    </xf>
    <xf numFmtId="49" fontId="6" fillId="0" borderId="2" xfId="0" applyNumberFormat="1" applyFont="1" applyBorder="1" applyAlignment="1" applyProtection="1">
      <alignment horizontal="center"/>
      <protection locked="0"/>
    </xf>
    <xf numFmtId="1" fontId="6" fillId="0" borderId="2" xfId="0" applyNumberFormat="1" applyFont="1" applyBorder="1" applyAlignment="1" applyProtection="1">
      <alignment horizontal="center"/>
      <protection locked="0"/>
    </xf>
    <xf numFmtId="49" fontId="6" fillId="9" borderId="2" xfId="0" applyNumberFormat="1" applyFont="1" applyFill="1" applyBorder="1" applyAlignment="1" applyProtection="1">
      <alignment horizontal="center"/>
      <protection locked="0"/>
    </xf>
    <xf numFmtId="1" fontId="6" fillId="9" borderId="2" xfId="0" applyNumberFormat="1" applyFont="1" applyFill="1" applyBorder="1" applyAlignment="1" applyProtection="1">
      <alignment horizontal="center"/>
      <protection locked="0"/>
    </xf>
    <xf numFmtId="0" fontId="22" fillId="13" borderId="21" xfId="0" applyFont="1" applyFill="1" applyBorder="1" applyAlignment="1">
      <alignment horizontal="center" vertical="center"/>
    </xf>
    <xf numFmtId="0" fontId="21" fillId="0" borderId="21" xfId="0" applyFont="1" applyBorder="1" applyAlignment="1">
      <alignment horizontal="center"/>
    </xf>
    <xf numFmtId="0" fontId="21" fillId="9" borderId="21" xfId="0" applyFont="1" applyFill="1" applyBorder="1" applyAlignment="1">
      <alignment horizontal="center"/>
    </xf>
    <xf numFmtId="0" fontId="61" fillId="0" borderId="10" xfId="0" applyFont="1" applyBorder="1" applyAlignment="1">
      <alignment horizontal="center"/>
    </xf>
    <xf numFmtId="1" fontId="63" fillId="27" borderId="36" xfId="1" applyNumberFormat="1" applyFont="1" applyFill="1" applyBorder="1" applyAlignment="1" applyProtection="1">
      <alignment horizontal="center"/>
    </xf>
    <xf numFmtId="1" fontId="63" fillId="29" borderId="21" xfId="1" applyNumberFormat="1" applyFont="1" applyFill="1" applyBorder="1" applyAlignment="1" applyProtection="1">
      <alignment horizontal="center"/>
    </xf>
    <xf numFmtId="1" fontId="63" fillId="29" borderId="2" xfId="1" applyNumberFormat="1" applyFont="1" applyFill="1" applyBorder="1" applyAlignment="1" applyProtection="1">
      <alignment horizontal="center"/>
    </xf>
    <xf numFmtId="1" fontId="63" fillId="29" borderId="2" xfId="0" applyNumberFormat="1" applyFont="1" applyFill="1" applyBorder="1" applyAlignment="1">
      <alignment horizontal="center"/>
    </xf>
    <xf numFmtId="1" fontId="63" fillId="29" borderId="21" xfId="0" applyNumberFormat="1" applyFont="1" applyFill="1" applyBorder="1" applyAlignment="1">
      <alignment horizontal="center"/>
    </xf>
    <xf numFmtId="1" fontId="63" fillId="30" borderId="2" xfId="1" applyNumberFormat="1" applyFont="1" applyFill="1" applyBorder="1" applyAlignment="1" applyProtection="1">
      <alignment horizontal="center"/>
    </xf>
    <xf numFmtId="0" fontId="19" fillId="0" borderId="63" xfId="0" applyFont="1" applyBorder="1" applyAlignment="1">
      <alignment horizontal="center" vertical="top" wrapText="1"/>
    </xf>
    <xf numFmtId="0" fontId="61" fillId="0" borderId="11" xfId="0" applyFont="1" applyBorder="1" applyAlignment="1">
      <alignment horizontal="center"/>
    </xf>
    <xf numFmtId="49" fontId="62" fillId="0" borderId="47" xfId="0" applyNumberFormat="1" applyFont="1" applyBorder="1" applyAlignment="1">
      <alignment horizontal="center" vertical="center"/>
    </xf>
    <xf numFmtId="49" fontId="62" fillId="0" borderId="44" xfId="0" applyNumberFormat="1" applyFont="1" applyBorder="1" applyAlignment="1">
      <alignment horizontal="center" vertical="center"/>
    </xf>
    <xf numFmtId="49" fontId="62" fillId="0" borderId="44" xfId="1" applyNumberFormat="1" applyFont="1" applyFill="1" applyBorder="1" applyAlignment="1" applyProtection="1">
      <alignment horizontal="center" vertical="center"/>
    </xf>
    <xf numFmtId="0" fontId="62" fillId="0" borderId="61" xfId="0" applyFont="1" applyBorder="1" applyAlignment="1" applyProtection="1">
      <alignment horizontal="center" vertical="top" wrapText="1"/>
      <protection locked="0"/>
    </xf>
    <xf numFmtId="1" fontId="63" fillId="0" borderId="36" xfId="0" applyNumberFormat="1" applyFont="1" applyBorder="1" applyAlignment="1" applyProtection="1">
      <alignment horizontal="center"/>
      <protection locked="0"/>
    </xf>
    <xf numFmtId="1" fontId="63" fillId="27" borderId="36" xfId="0" applyNumberFormat="1" applyFont="1" applyFill="1" applyBorder="1" applyAlignment="1">
      <alignment horizontal="center"/>
    </xf>
    <xf numFmtId="49" fontId="6" fillId="9" borderId="2" xfId="0" applyNumberFormat="1" applyFont="1" applyFill="1" applyBorder="1" applyAlignment="1">
      <alignment horizontal="center" vertical="center"/>
    </xf>
    <xf numFmtId="0" fontId="60" fillId="0" borderId="61" xfId="0" applyFont="1" applyBorder="1" applyAlignment="1">
      <alignment horizontal="center"/>
    </xf>
    <xf numFmtId="49" fontId="6" fillId="9" borderId="22" xfId="0" applyNumberFormat="1" applyFont="1" applyFill="1" applyBorder="1" applyAlignment="1">
      <alignment horizontal="left"/>
    </xf>
    <xf numFmtId="1" fontId="6" fillId="7" borderId="2" xfId="0" applyNumberFormat="1" applyFont="1" applyFill="1" applyBorder="1" applyAlignment="1">
      <alignment horizontal="center"/>
    </xf>
    <xf numFmtId="49" fontId="6" fillId="0" borderId="15" xfId="0" applyNumberFormat="1" applyFont="1" applyBorder="1" applyAlignment="1">
      <alignment horizontal="left"/>
    </xf>
    <xf numFmtId="49" fontId="6" fillId="9" borderId="15" xfId="0" applyNumberFormat="1" applyFont="1" applyFill="1" applyBorder="1" applyAlignment="1">
      <alignment horizontal="left"/>
    </xf>
    <xf numFmtId="169" fontId="6" fillId="9" borderId="64" xfId="0" applyNumberFormat="1" applyFont="1" applyFill="1" applyBorder="1" applyAlignment="1">
      <alignment horizontal="center" vertical="center"/>
    </xf>
    <xf numFmtId="49" fontId="71" fillId="9" borderId="2" xfId="0" applyNumberFormat="1" applyFont="1" applyFill="1" applyBorder="1" applyAlignment="1">
      <alignment horizontal="center"/>
    </xf>
    <xf numFmtId="169" fontId="71" fillId="9" borderId="2" xfId="2" applyNumberFormat="1" applyFont="1" applyFill="1" applyBorder="1" applyAlignment="1" applyProtection="1">
      <alignment horizontal="center" vertical="center"/>
    </xf>
    <xf numFmtId="49" fontId="71" fillId="0" borderId="2" xfId="0" applyNumberFormat="1" applyFont="1" applyBorder="1" applyAlignment="1">
      <alignment horizontal="center"/>
    </xf>
    <xf numFmtId="169" fontId="71" fillId="0" borderId="2" xfId="2" applyNumberFormat="1" applyFont="1" applyFill="1" applyBorder="1" applyAlignment="1" applyProtection="1">
      <alignment horizontal="center" vertical="center"/>
    </xf>
    <xf numFmtId="49" fontId="6" fillId="9" borderId="4" xfId="0" applyNumberFormat="1" applyFont="1" applyFill="1" applyBorder="1" applyAlignment="1">
      <alignment horizontal="left"/>
    </xf>
    <xf numFmtId="0" fontId="71" fillId="0" borderId="2" xfId="0" applyFont="1" applyBorder="1" applyAlignment="1">
      <alignment horizontal="center"/>
    </xf>
    <xf numFmtId="169" fontId="6" fillId="9" borderId="91" xfId="0" applyNumberFormat="1" applyFont="1" applyFill="1" applyBorder="1" applyAlignment="1">
      <alignment horizontal="center" vertical="center"/>
    </xf>
    <xf numFmtId="0" fontId="22" fillId="14" borderId="24" xfId="0" applyFont="1" applyFill="1" applyBorder="1"/>
    <xf numFmtId="0" fontId="10" fillId="0" borderId="12" xfId="0" applyFont="1" applyBorder="1" applyAlignment="1">
      <alignment horizontal="center"/>
    </xf>
    <xf numFmtId="0" fontId="14" fillId="14" borderId="63" xfId="0" applyFont="1" applyFill="1" applyBorder="1"/>
    <xf numFmtId="0" fontId="14" fillId="14" borderId="62" xfId="0" applyFont="1" applyFill="1" applyBorder="1"/>
    <xf numFmtId="0" fontId="22" fillId="0" borderId="11" xfId="0" applyFont="1" applyBorder="1"/>
    <xf numFmtId="0" fontId="22" fillId="0" borderId="24" xfId="0" applyFont="1" applyBorder="1"/>
    <xf numFmtId="0" fontId="6" fillId="0" borderId="2" xfId="0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>
      <alignment horizontal="center"/>
    </xf>
    <xf numFmtId="169" fontId="6" fillId="0" borderId="66" xfId="0" applyNumberFormat="1" applyFont="1" applyBorder="1" applyAlignment="1">
      <alignment horizontal="center" vertical="center"/>
    </xf>
    <xf numFmtId="3" fontId="6" fillId="9" borderId="16" xfId="0" applyNumberFormat="1" applyFont="1" applyFill="1" applyBorder="1" applyAlignment="1">
      <alignment horizontal="center"/>
    </xf>
    <xf numFmtId="169" fontId="6" fillId="9" borderId="66" xfId="0" applyNumberFormat="1" applyFont="1" applyFill="1" applyBorder="1" applyAlignment="1">
      <alignment horizontal="center" vertical="center"/>
    </xf>
    <xf numFmtId="49" fontId="6" fillId="0" borderId="2" xfId="0" applyNumberFormat="1" applyFont="1" applyBorder="1"/>
    <xf numFmtId="49" fontId="6" fillId="9" borderId="2" xfId="0" applyNumberFormat="1" applyFont="1" applyFill="1" applyBorder="1"/>
    <xf numFmtId="0" fontId="6" fillId="21" borderId="67" xfId="0" applyFont="1" applyFill="1" applyBorder="1" applyAlignment="1" applyProtection="1">
      <alignment horizontal="center"/>
      <protection locked="0"/>
    </xf>
    <xf numFmtId="49" fontId="71" fillId="0" borderId="2" xfId="0" applyNumberFormat="1" applyFont="1" applyBorder="1" applyAlignment="1">
      <alignment vertical="center"/>
    </xf>
    <xf numFmtId="0" fontId="71" fillId="9" borderId="2" xfId="0" applyFont="1" applyFill="1" applyBorder="1" applyAlignment="1">
      <alignment horizontal="center"/>
    </xf>
    <xf numFmtId="3" fontId="10" fillId="4" borderId="13" xfId="0" applyNumberFormat="1" applyFont="1" applyFill="1" applyBorder="1" applyAlignment="1">
      <alignment horizontal="center"/>
    </xf>
    <xf numFmtId="3" fontId="10" fillId="4" borderId="12" xfId="0" applyNumberFormat="1" applyFont="1" applyFill="1" applyBorder="1" applyAlignment="1" applyProtection="1">
      <alignment horizontal="center"/>
      <protection locked="0"/>
    </xf>
    <xf numFmtId="3" fontId="10" fillId="4" borderId="13" xfId="0" applyNumberFormat="1" applyFont="1" applyFill="1" applyBorder="1" applyAlignment="1" applyProtection="1">
      <alignment horizontal="center"/>
      <protection locked="0"/>
    </xf>
    <xf numFmtId="1" fontId="6" fillId="4" borderId="49" xfId="2" applyNumberFormat="1" applyFont="1" applyFill="1" applyBorder="1" applyAlignment="1" applyProtection="1">
      <alignment horizontal="center"/>
    </xf>
    <xf numFmtId="169" fontId="10" fillId="4" borderId="97" xfId="0" applyNumberFormat="1" applyFont="1" applyFill="1" applyBorder="1" applyAlignment="1">
      <alignment horizontal="center" vertical="center"/>
    </xf>
    <xf numFmtId="169" fontId="10" fillId="4" borderId="12" xfId="2" applyNumberFormat="1" applyFont="1" applyFill="1" applyBorder="1" applyAlignment="1" applyProtection="1">
      <alignment horizontal="center" vertical="center"/>
    </xf>
    <xf numFmtId="0" fontId="40" fillId="0" borderId="2" xfId="0" applyFont="1" applyBorder="1"/>
    <xf numFmtId="1" fontId="40" fillId="0" borderId="2" xfId="0" applyNumberFormat="1" applyFont="1" applyBorder="1" applyAlignment="1" applyProtection="1">
      <alignment horizontal="center"/>
      <protection locked="0"/>
    </xf>
    <xf numFmtId="3" fontId="21" fillId="9" borderId="15" xfId="0" quotePrefix="1" applyNumberFormat="1" applyFont="1" applyFill="1" applyBorder="1" applyAlignment="1" applyProtection="1">
      <alignment horizontal="left" vertical="center"/>
      <protection locked="0"/>
    </xf>
    <xf numFmtId="0" fontId="21" fillId="9" borderId="16" xfId="0" applyFont="1" applyFill="1" applyBorder="1" applyAlignment="1" applyProtection="1">
      <alignment horizontal="left" vertical="center"/>
      <protection locked="0"/>
    </xf>
    <xf numFmtId="1" fontId="40" fillId="9" borderId="2" xfId="0" applyNumberFormat="1" applyFont="1" applyFill="1" applyBorder="1" applyAlignment="1" applyProtection="1">
      <alignment horizontal="center"/>
      <protection locked="0"/>
    </xf>
    <xf numFmtId="3" fontId="21" fillId="9" borderId="16" xfId="0" applyNumberFormat="1" applyFont="1" applyFill="1" applyBorder="1" applyAlignment="1">
      <alignment horizontal="center"/>
    </xf>
    <xf numFmtId="169" fontId="21" fillId="9" borderId="16" xfId="2" applyNumberFormat="1" applyFont="1" applyFill="1" applyBorder="1" applyAlignment="1" applyProtection="1">
      <alignment horizontal="center" vertical="center"/>
    </xf>
    <xf numFmtId="0" fontId="21" fillId="0" borderId="15" xfId="0" quotePrefix="1" applyFont="1" applyBorder="1" applyAlignment="1" applyProtection="1">
      <alignment horizontal="left" vertical="center"/>
      <protection locked="0"/>
    </xf>
    <xf numFmtId="0" fontId="21" fillId="0" borderId="16" xfId="0" applyFont="1" applyBorder="1" applyAlignment="1" applyProtection="1">
      <alignment horizontal="left" vertical="center"/>
      <protection locked="0"/>
    </xf>
    <xf numFmtId="1" fontId="40" fillId="8" borderId="2" xfId="2" applyNumberFormat="1" applyFont="1" applyFill="1" applyBorder="1" applyProtection="1"/>
    <xf numFmtId="1" fontId="40" fillId="8" borderId="2" xfId="0" applyNumberFormat="1" applyFont="1" applyFill="1" applyBorder="1"/>
    <xf numFmtId="0" fontId="21" fillId="9" borderId="15" xfId="0" quotePrefix="1" applyFont="1" applyFill="1" applyBorder="1" applyAlignment="1" applyProtection="1">
      <alignment horizontal="left" vertical="center"/>
      <protection locked="0"/>
    </xf>
    <xf numFmtId="49" fontId="27" fillId="0" borderId="2" xfId="0" applyNumberFormat="1" applyFont="1" applyBorder="1"/>
    <xf numFmtId="0" fontId="21" fillId="4" borderId="15" xfId="0" quotePrefix="1" applyFont="1" applyFill="1" applyBorder="1" applyAlignment="1" applyProtection="1">
      <alignment horizontal="left" vertical="center"/>
      <protection locked="0"/>
    </xf>
    <xf numFmtId="0" fontId="21" fillId="4" borderId="2" xfId="0" applyFont="1" applyFill="1" applyBorder="1" applyAlignment="1" applyProtection="1">
      <alignment horizontal="left" vertical="center"/>
      <protection locked="0"/>
    </xf>
    <xf numFmtId="0" fontId="21" fillId="9" borderId="2" xfId="0" applyFont="1" applyFill="1" applyBorder="1" applyAlignment="1" applyProtection="1">
      <alignment horizontal="left" vertical="center"/>
      <protection locked="0"/>
    </xf>
    <xf numFmtId="1" fontId="40" fillId="7" borderId="2" xfId="2" applyNumberFormat="1" applyFont="1" applyFill="1" applyBorder="1" applyProtection="1"/>
    <xf numFmtId="1" fontId="40" fillId="7" borderId="2" xfId="0" applyNumberFormat="1" applyFont="1" applyFill="1" applyBorder="1"/>
    <xf numFmtId="0" fontId="40" fillId="4" borderId="2" xfId="0" applyFont="1" applyFill="1" applyBorder="1"/>
    <xf numFmtId="0" fontId="40" fillId="4" borderId="0" xfId="0" applyFont="1" applyFill="1"/>
    <xf numFmtId="0" fontId="21" fillId="4" borderId="7" xfId="0" quotePrefix="1" applyFont="1" applyFill="1" applyBorder="1" applyAlignment="1" applyProtection="1">
      <alignment horizontal="left" vertical="center"/>
      <protection locked="0"/>
    </xf>
    <xf numFmtId="0" fontId="21" fillId="4" borderId="22" xfId="0" applyFont="1" applyFill="1" applyBorder="1" applyAlignment="1" applyProtection="1">
      <alignment horizontal="left" vertical="center"/>
      <protection locked="0"/>
    </xf>
    <xf numFmtId="0" fontId="40" fillId="7" borderId="22" xfId="0" applyFont="1" applyFill="1" applyBorder="1"/>
    <xf numFmtId="1" fontId="40" fillId="4" borderId="22" xfId="0" applyNumberFormat="1" applyFont="1" applyFill="1" applyBorder="1" applyAlignment="1" applyProtection="1">
      <alignment horizontal="center"/>
      <protection locked="0"/>
    </xf>
    <xf numFmtId="1" fontId="40" fillId="8" borderId="22" xfId="2" applyNumberFormat="1" applyFont="1" applyFill="1" applyBorder="1" applyProtection="1"/>
    <xf numFmtId="1" fontId="40" fillId="8" borderId="22" xfId="0" applyNumberFormat="1" applyFont="1" applyFill="1" applyBorder="1"/>
    <xf numFmtId="3" fontId="21" fillId="4" borderId="22" xfId="0" applyNumberFormat="1" applyFont="1" applyFill="1" applyBorder="1" applyAlignment="1">
      <alignment horizontal="center"/>
    </xf>
    <xf numFmtId="169" fontId="21" fillId="0" borderId="5" xfId="2" applyNumberFormat="1" applyFont="1" applyBorder="1" applyAlignment="1" applyProtection="1">
      <alignment horizontal="center" vertical="center"/>
    </xf>
    <xf numFmtId="0" fontId="21" fillId="21" borderId="19" xfId="0" applyFont="1" applyFill="1" applyBorder="1"/>
    <xf numFmtId="49" fontId="21" fillId="21" borderId="54" xfId="0" applyNumberFormat="1" applyFont="1" applyFill="1" applyBorder="1" applyAlignment="1">
      <alignment vertical="center"/>
    </xf>
    <xf numFmtId="49" fontId="22" fillId="21" borderId="53" xfId="0" applyNumberFormat="1" applyFont="1" applyFill="1" applyBorder="1" applyAlignment="1">
      <alignment horizontal="center" vertical="center"/>
    </xf>
    <xf numFmtId="3" fontId="21" fillId="21" borderId="53" xfId="0" applyNumberFormat="1" applyFont="1" applyFill="1" applyBorder="1" applyAlignment="1">
      <alignment horizontal="center" vertical="center"/>
    </xf>
    <xf numFmtId="3" fontId="22" fillId="21" borderId="53" xfId="0" applyNumberFormat="1" applyFont="1" applyFill="1" applyBorder="1" applyAlignment="1">
      <alignment horizontal="center" vertical="center"/>
    </xf>
    <xf numFmtId="169" fontId="22" fillId="21" borderId="55" xfId="2" applyNumberFormat="1" applyFont="1" applyFill="1" applyBorder="1" applyAlignment="1" applyProtection="1">
      <alignment horizontal="center" vertical="center"/>
    </xf>
    <xf numFmtId="0" fontId="21" fillId="0" borderId="2" xfId="0" applyFont="1" applyBorder="1"/>
    <xf numFmtId="0" fontId="6" fillId="21" borderId="61" xfId="0" applyFont="1" applyFill="1" applyBorder="1"/>
    <xf numFmtId="49" fontId="6" fillId="9" borderId="4" xfId="0" applyNumberFormat="1" applyFont="1" applyFill="1" applyBorder="1" applyProtection="1">
      <protection locked="0"/>
    </xf>
    <xf numFmtId="49" fontId="6" fillId="9" borderId="21" xfId="0" applyNumberFormat="1" applyFont="1" applyFill="1" applyBorder="1"/>
    <xf numFmtId="1" fontId="6" fillId="9" borderId="9" xfId="0" applyNumberFormat="1" applyFont="1" applyFill="1" applyBorder="1" applyAlignment="1" applyProtection="1">
      <alignment horizontal="center"/>
      <protection locked="0"/>
    </xf>
    <xf numFmtId="0" fontId="6" fillId="21" borderId="63" xfId="0" applyFont="1" applyFill="1" applyBorder="1"/>
    <xf numFmtId="49" fontId="6" fillId="0" borderId="15" xfId="0" applyNumberFormat="1" applyFont="1" applyBorder="1" applyProtection="1">
      <protection locked="0"/>
    </xf>
    <xf numFmtId="49" fontId="6" fillId="0" borderId="2" xfId="0" applyNumberFormat="1" applyFont="1" applyBorder="1" applyAlignment="1">
      <alignment horizontal="left"/>
    </xf>
    <xf numFmtId="169" fontId="6" fillId="0" borderId="2" xfId="2" applyNumberFormat="1" applyFont="1" applyFill="1" applyBorder="1" applyAlignment="1" applyProtection="1"/>
    <xf numFmtId="49" fontId="6" fillId="0" borderId="2" xfId="2" applyNumberFormat="1" applyFont="1" applyFill="1" applyBorder="1" applyAlignment="1" applyProtection="1"/>
    <xf numFmtId="1" fontId="6" fillId="0" borderId="16" xfId="0" applyNumberFormat="1" applyFont="1" applyBorder="1" applyAlignment="1" applyProtection="1">
      <alignment horizontal="center"/>
      <protection locked="0"/>
    </xf>
    <xf numFmtId="169" fontId="10" fillId="0" borderId="0" xfId="0" applyNumberFormat="1" applyFont="1"/>
    <xf numFmtId="49" fontId="6" fillId="9" borderId="15" xfId="0" applyNumberFormat="1" applyFont="1" applyFill="1" applyBorder="1" applyProtection="1">
      <protection locked="0"/>
    </xf>
    <xf numFmtId="49" fontId="6" fillId="9" borderId="2" xfId="0" applyNumberFormat="1" applyFont="1" applyFill="1" applyBorder="1" applyAlignment="1">
      <alignment horizontal="left"/>
    </xf>
    <xf numFmtId="169" fontId="6" fillId="9" borderId="2" xfId="2" applyNumberFormat="1" applyFont="1" applyFill="1" applyBorder="1" applyAlignment="1" applyProtection="1"/>
    <xf numFmtId="49" fontId="6" fillId="9" borderId="2" xfId="2" applyNumberFormat="1" applyFont="1" applyFill="1" applyBorder="1" applyAlignment="1" applyProtection="1"/>
    <xf numFmtId="1" fontId="6" fillId="9" borderId="16" xfId="0" applyNumberFormat="1" applyFont="1" applyFill="1" applyBorder="1" applyAlignment="1" applyProtection="1">
      <alignment horizontal="center"/>
      <protection locked="0"/>
    </xf>
    <xf numFmtId="49" fontId="6" fillId="0" borderId="7" xfId="0" applyNumberFormat="1" applyFont="1" applyBorder="1" applyProtection="1">
      <protection locked="0"/>
    </xf>
    <xf numFmtId="49" fontId="6" fillId="0" borderId="22" xfId="0" applyNumberFormat="1" applyFont="1" applyBorder="1" applyAlignment="1">
      <alignment horizontal="left"/>
    </xf>
    <xf numFmtId="169" fontId="6" fillId="0" borderId="22" xfId="2" applyNumberFormat="1" applyFont="1" applyFill="1" applyBorder="1" applyAlignment="1" applyProtection="1"/>
    <xf numFmtId="49" fontId="6" fillId="0" borderId="22" xfId="2" applyNumberFormat="1" applyFont="1" applyFill="1" applyBorder="1" applyAlignment="1" applyProtection="1"/>
    <xf numFmtId="1" fontId="6" fillId="0" borderId="5" xfId="0" applyNumberFormat="1" applyFont="1" applyBorder="1" applyAlignment="1" applyProtection="1">
      <alignment horizontal="center"/>
      <protection locked="0"/>
    </xf>
    <xf numFmtId="169" fontId="6" fillId="9" borderId="22" xfId="2" applyNumberFormat="1" applyFont="1" applyFill="1" applyBorder="1" applyAlignment="1" applyProtection="1"/>
    <xf numFmtId="49" fontId="6" fillId="9" borderId="22" xfId="2" applyNumberFormat="1" applyFont="1" applyFill="1" applyBorder="1" applyAlignment="1" applyProtection="1"/>
    <xf numFmtId="1" fontId="6" fillId="9" borderId="5" xfId="0" applyNumberFormat="1" applyFont="1" applyFill="1" applyBorder="1" applyAlignment="1" applyProtection="1">
      <alignment horizontal="center"/>
      <protection locked="0"/>
    </xf>
    <xf numFmtId="1" fontId="10" fillId="21" borderId="55" xfId="0" applyNumberFormat="1" applyFont="1" applyFill="1" applyBorder="1" applyAlignment="1">
      <alignment horizontal="center"/>
    </xf>
    <xf numFmtId="169" fontId="10" fillId="21" borderId="20" xfId="0" applyNumberFormat="1" applyFont="1" applyFill="1" applyBorder="1" applyAlignment="1">
      <alignment horizontal="center" vertical="center"/>
    </xf>
    <xf numFmtId="169" fontId="6" fillId="0" borderId="91" xfId="0" applyNumberFormat="1" applyFont="1" applyBorder="1" applyAlignment="1">
      <alignment horizontal="center" vertical="center"/>
    </xf>
    <xf numFmtId="0" fontId="22" fillId="14" borderId="17" xfId="0" applyFont="1" applyFill="1" applyBorder="1"/>
    <xf numFmtId="0" fontId="22" fillId="0" borderId="17" xfId="0" applyFont="1" applyBorder="1"/>
    <xf numFmtId="0" fontId="22" fillId="0" borderId="13" xfId="0" applyFont="1" applyBorder="1"/>
    <xf numFmtId="0" fontId="22" fillId="0" borderId="52" xfId="0" applyFont="1" applyBorder="1"/>
    <xf numFmtId="0" fontId="14" fillId="14" borderId="63" xfId="0" applyFont="1" applyFill="1" applyBorder="1" applyAlignment="1">
      <alignment horizontal="left"/>
    </xf>
    <xf numFmtId="0" fontId="14" fillId="14" borderId="62" xfId="0" applyFont="1" applyFill="1" applyBorder="1" applyAlignment="1">
      <alignment horizontal="left"/>
    </xf>
    <xf numFmtId="0" fontId="14" fillId="14" borderId="61" xfId="0" applyFont="1" applyFill="1" applyBorder="1" applyAlignment="1">
      <alignment horizontal="left"/>
    </xf>
    <xf numFmtId="0" fontId="4" fillId="0" borderId="67" xfId="0" applyFont="1" applyBorder="1" applyAlignment="1">
      <alignment horizontal="right"/>
    </xf>
    <xf numFmtId="0" fontId="10" fillId="0" borderId="41" xfId="0" applyFont="1" applyBorder="1"/>
    <xf numFmtId="49" fontId="10" fillId="0" borderId="41" xfId="0" applyNumberFormat="1" applyFont="1" applyBorder="1" applyAlignment="1">
      <alignment horizontal="center"/>
    </xf>
    <xf numFmtId="0" fontId="14" fillId="14" borderId="10" xfId="0" applyFont="1" applyFill="1" applyBorder="1" applyAlignment="1">
      <alignment horizontal="left"/>
    </xf>
    <xf numFmtId="0" fontId="14" fillId="14" borderId="67" xfId="0" applyFont="1" applyFill="1" applyBorder="1" applyAlignment="1">
      <alignment horizontal="left"/>
    </xf>
    <xf numFmtId="0" fontId="14" fillId="14" borderId="12" xfId="0" applyFont="1" applyFill="1" applyBorder="1" applyAlignment="1">
      <alignment horizontal="left"/>
    </xf>
    <xf numFmtId="0" fontId="4" fillId="14" borderId="52" xfId="0" applyFont="1" applyFill="1" applyBorder="1" applyProtection="1">
      <protection locked="0"/>
    </xf>
    <xf numFmtId="0" fontId="39" fillId="0" borderId="0" xfId="0" applyFont="1"/>
    <xf numFmtId="0" fontId="4" fillId="0" borderId="13" xfId="0" applyFont="1" applyBorder="1"/>
    <xf numFmtId="0" fontId="14" fillId="14" borderId="61" xfId="0" applyFont="1" applyFill="1" applyBorder="1" applyAlignment="1">
      <alignment horizontal="center"/>
    </xf>
    <xf numFmtId="49" fontId="9" fillId="0" borderId="94" xfId="0" applyNumberFormat="1" applyFont="1" applyBorder="1" applyAlignment="1">
      <alignment horizontal="center"/>
    </xf>
    <xf numFmtId="49" fontId="6" fillId="0" borderId="97" xfId="0" applyNumberFormat="1" applyFont="1" applyBorder="1"/>
    <xf numFmtId="0" fontId="22" fillId="14" borderId="17" xfId="0" quotePrefix="1" applyFont="1" applyFill="1" applyBorder="1" applyAlignment="1">
      <alignment wrapText="1"/>
    </xf>
    <xf numFmtId="0" fontId="22" fillId="14" borderId="24" xfId="0" quotePrefix="1" applyFont="1" applyFill="1" applyBorder="1" applyAlignment="1">
      <alignment wrapText="1"/>
    </xf>
    <xf numFmtId="0" fontId="22" fillId="14" borderId="52" xfId="0" quotePrefix="1" applyFont="1" applyFill="1" applyBorder="1" applyAlignment="1">
      <alignment wrapText="1"/>
    </xf>
    <xf numFmtId="169" fontId="9" fillId="4" borderId="12" xfId="0" applyNumberFormat="1" applyFont="1" applyFill="1" applyBorder="1" applyAlignment="1">
      <alignment horizontal="center"/>
    </xf>
    <xf numFmtId="1" fontId="4" fillId="9" borderId="9" xfId="0" applyNumberFormat="1" applyFont="1" applyFill="1" applyBorder="1" applyAlignment="1" applyProtection="1">
      <alignment horizontal="center"/>
      <protection locked="0"/>
    </xf>
    <xf numFmtId="1" fontId="4" fillId="0" borderId="16" xfId="0" applyNumberFormat="1" applyFont="1" applyBorder="1" applyAlignment="1" applyProtection="1">
      <alignment horizontal="center"/>
      <protection locked="0"/>
    </xf>
    <xf numFmtId="1" fontId="4" fillId="9" borderId="16" xfId="0" applyNumberFormat="1" applyFont="1" applyFill="1" applyBorder="1" applyAlignment="1" applyProtection="1">
      <alignment horizontal="center"/>
      <protection locked="0"/>
    </xf>
    <xf numFmtId="1" fontId="4" fillId="9" borderId="5" xfId="0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53" xfId="0" applyFont="1" applyFill="1" applyBorder="1" applyAlignment="1" applyProtection="1">
      <alignment horizontal="center"/>
      <protection locked="0"/>
    </xf>
    <xf numFmtId="1" fontId="40" fillId="9" borderId="2" xfId="0" applyNumberFormat="1" applyFont="1" applyFill="1" applyBorder="1" applyAlignment="1" applyProtection="1">
      <alignment horizontal="center" vertical="center"/>
      <protection locked="0"/>
    </xf>
    <xf numFmtId="1" fontId="40" fillId="0" borderId="2" xfId="0" applyNumberFormat="1" applyFont="1" applyBorder="1" applyAlignment="1" applyProtection="1">
      <alignment horizontal="center" vertical="center"/>
      <protection locked="0"/>
    </xf>
    <xf numFmtId="1" fontId="40" fillId="9" borderId="2" xfId="2" applyNumberFormat="1" applyFont="1" applyFill="1" applyBorder="1" applyAlignment="1" applyProtection="1">
      <alignment horizontal="center" vertical="center"/>
      <protection locked="0"/>
    </xf>
    <xf numFmtId="1" fontId="40" fillId="0" borderId="2" xfId="2" applyNumberFormat="1" applyFont="1" applyFill="1" applyBorder="1" applyAlignment="1" applyProtection="1">
      <alignment horizontal="center" vertical="center"/>
      <protection locked="0"/>
    </xf>
    <xf numFmtId="49" fontId="4" fillId="9" borderId="4" xfId="0" applyNumberFormat="1" applyFont="1" applyFill="1" applyBorder="1" applyProtection="1">
      <protection locked="0"/>
    </xf>
    <xf numFmtId="49" fontId="4" fillId="0" borderId="15" xfId="0" applyNumberFormat="1" applyFont="1" applyBorder="1" applyProtection="1">
      <protection locked="0"/>
    </xf>
    <xf numFmtId="49" fontId="4" fillId="9" borderId="15" xfId="0" applyNumberFormat="1" applyFont="1" applyFill="1" applyBorder="1" applyProtection="1">
      <protection locked="0"/>
    </xf>
    <xf numFmtId="49" fontId="4" fillId="9" borderId="7" xfId="0" applyNumberFormat="1" applyFont="1" applyFill="1" applyBorder="1" applyProtection="1">
      <protection locked="0"/>
    </xf>
    <xf numFmtId="49" fontId="4" fillId="9" borderId="89" xfId="0" applyNumberFormat="1" applyFont="1" applyFill="1" applyBorder="1" applyProtection="1">
      <protection locked="0"/>
    </xf>
    <xf numFmtId="0" fontId="39" fillId="31" borderId="20" xfId="0" applyFont="1" applyFill="1" applyBorder="1" applyAlignment="1">
      <alignment horizontal="center"/>
    </xf>
    <xf numFmtId="1" fontId="63" fillId="29" borderId="9" xfId="0" applyNumberFormat="1" applyFont="1" applyFill="1" applyBorder="1" applyAlignment="1">
      <alignment horizontal="center"/>
    </xf>
    <xf numFmtId="1" fontId="63" fillId="29" borderId="16" xfId="0" applyNumberFormat="1" applyFont="1" applyFill="1" applyBorder="1" applyAlignment="1">
      <alignment horizontal="center"/>
    </xf>
    <xf numFmtId="1" fontId="63" fillId="27" borderId="9" xfId="0" applyNumberFormat="1" applyFont="1" applyFill="1" applyBorder="1" applyAlignment="1">
      <alignment horizontal="center"/>
    </xf>
    <xf numFmtId="1" fontId="63" fillId="27" borderId="16" xfId="0" applyNumberFormat="1" applyFont="1" applyFill="1" applyBorder="1" applyAlignment="1">
      <alignment horizontal="center"/>
    </xf>
    <xf numFmtId="1" fontId="63" fillId="27" borderId="31" xfId="0" applyNumberFormat="1" applyFont="1" applyFill="1" applyBorder="1" applyAlignment="1">
      <alignment horizontal="center"/>
    </xf>
    <xf numFmtId="0" fontId="61" fillId="0" borderId="61" xfId="0" applyFont="1" applyBorder="1" applyAlignment="1">
      <alignment horizontal="center"/>
    </xf>
    <xf numFmtId="49" fontId="71" fillId="9" borderId="2" xfId="0" applyNumberFormat="1" applyFont="1" applyFill="1" applyBorder="1" applyAlignment="1">
      <alignment vertical="center"/>
    </xf>
    <xf numFmtId="0" fontId="47" fillId="9" borderId="33" xfId="0" applyFont="1" applyFill="1" applyBorder="1"/>
    <xf numFmtId="49" fontId="72" fillId="9" borderId="25" xfId="0" applyNumberFormat="1" applyFont="1" applyFill="1" applyBorder="1" applyAlignment="1">
      <alignment horizontal="center"/>
    </xf>
    <xf numFmtId="49" fontId="72" fillId="9" borderId="25" xfId="0" applyNumberFormat="1" applyFont="1" applyFill="1" applyBorder="1" applyAlignment="1">
      <alignment horizontal="left"/>
    </xf>
    <xf numFmtId="1" fontId="47" fillId="8" borderId="25" xfId="0" applyNumberFormat="1" applyFont="1" applyFill="1" applyBorder="1" applyAlignment="1">
      <alignment horizontal="center" vertical="center"/>
    </xf>
    <xf numFmtId="1" fontId="47" fillId="9" borderId="25" xfId="0" applyNumberFormat="1" applyFont="1" applyFill="1" applyBorder="1" applyAlignment="1" applyProtection="1">
      <alignment horizontal="center" vertical="center"/>
      <protection locked="0"/>
    </xf>
    <xf numFmtId="169" fontId="47" fillId="9" borderId="25" xfId="0" applyNumberFormat="1" applyFont="1" applyFill="1" applyBorder="1" applyAlignment="1">
      <alignment horizontal="center" vertical="center"/>
    </xf>
    <xf numFmtId="0" fontId="47" fillId="9" borderId="35" xfId="0" applyFont="1" applyFill="1" applyBorder="1" applyAlignment="1">
      <alignment horizontal="center" vertical="center"/>
    </xf>
    <xf numFmtId="0" fontId="51" fillId="0" borderId="12" xfId="0" applyFont="1" applyBorder="1"/>
    <xf numFmtId="0" fontId="51" fillId="0" borderId="13" xfId="0" applyFont="1" applyBorder="1"/>
    <xf numFmtId="0" fontId="51" fillId="0" borderId="52" xfId="0" applyFont="1" applyBorder="1"/>
    <xf numFmtId="0" fontId="51" fillId="0" borderId="0" xfId="0" applyFont="1"/>
    <xf numFmtId="169" fontId="6" fillId="20" borderId="2" xfId="1" applyNumberFormat="1" applyFont="1" applyFill="1" applyBorder="1" applyAlignment="1" applyProtection="1">
      <alignment horizontal="center" vertical="center"/>
      <protection locked="0"/>
    </xf>
    <xf numFmtId="169" fontId="6" fillId="0" borderId="2" xfId="1" applyNumberFormat="1" applyFont="1" applyFill="1" applyBorder="1" applyAlignment="1" applyProtection="1">
      <alignment horizontal="center" vertical="center"/>
      <protection locked="0"/>
    </xf>
    <xf numFmtId="169" fontId="6" fillId="9" borderId="2" xfId="1" applyNumberFormat="1" applyFont="1" applyFill="1" applyBorder="1" applyAlignment="1" applyProtection="1">
      <alignment horizontal="center" vertical="center"/>
      <protection locked="0"/>
    </xf>
    <xf numFmtId="169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1" xfId="1" applyNumberFormat="1" applyFont="1" applyBorder="1" applyAlignment="1" applyProtection="1">
      <alignment horizontal="center" vertical="center"/>
      <protection locked="0"/>
    </xf>
    <xf numFmtId="49" fontId="21" fillId="13" borderId="21" xfId="0" applyNumberFormat="1" applyFont="1" applyFill="1" applyBorder="1" applyProtection="1">
      <protection locked="0"/>
    </xf>
    <xf numFmtId="0" fontId="21" fillId="13" borderId="21" xfId="0" applyFont="1" applyFill="1" applyBorder="1" applyAlignment="1" applyProtection="1">
      <alignment horizontal="center"/>
      <protection locked="0"/>
    </xf>
    <xf numFmtId="49" fontId="21" fillId="0" borderId="2" xfId="0" applyNumberFormat="1" applyFont="1" applyBorder="1" applyProtection="1">
      <protection locked="0"/>
    </xf>
    <xf numFmtId="0" fontId="21" fillId="0" borderId="21" xfId="0" applyFont="1" applyBorder="1" applyAlignment="1" applyProtection="1">
      <alignment horizontal="center"/>
      <protection locked="0"/>
    </xf>
    <xf numFmtId="49" fontId="21" fillId="9" borderId="2" xfId="0" applyNumberFormat="1" applyFont="1" applyFill="1" applyBorder="1" applyProtection="1">
      <protection locked="0"/>
    </xf>
    <xf numFmtId="0" fontId="21" fillId="9" borderId="21" xfId="0" applyFont="1" applyFill="1" applyBorder="1" applyAlignment="1" applyProtection="1">
      <alignment horizontal="center"/>
      <protection locked="0"/>
    </xf>
    <xf numFmtId="169" fontId="21" fillId="13" borderId="21" xfId="1" applyNumberFormat="1" applyFont="1" applyFill="1" applyBorder="1" applyAlignment="1" applyProtection="1">
      <alignment horizontal="center" vertical="center"/>
      <protection locked="0"/>
    </xf>
    <xf numFmtId="169" fontId="21" fillId="0" borderId="2" xfId="1" applyNumberFormat="1" applyFont="1" applyBorder="1" applyAlignment="1" applyProtection="1">
      <alignment horizontal="center" vertical="center"/>
      <protection locked="0"/>
    </xf>
    <xf numFmtId="169" fontId="21" fillId="9" borderId="2" xfId="1" applyNumberFormat="1" applyFont="1" applyFill="1" applyBorder="1" applyAlignment="1" applyProtection="1">
      <alignment horizontal="center" vertical="center"/>
      <protection locked="0"/>
    </xf>
    <xf numFmtId="0" fontId="35" fillId="0" borderId="0" xfId="0" applyFont="1" applyAlignment="1">
      <alignment horizontal="left" vertical="center"/>
    </xf>
    <xf numFmtId="1" fontId="21" fillId="13" borderId="21" xfId="0" applyNumberFormat="1" applyFont="1" applyFill="1" applyBorder="1" applyAlignment="1" applyProtection="1">
      <alignment horizontal="center"/>
      <protection locked="0"/>
    </xf>
    <xf numFmtId="1" fontId="21" fillId="0" borderId="2" xfId="0" applyNumberFormat="1" applyFont="1" applyBorder="1" applyAlignment="1" applyProtection="1">
      <alignment horizontal="center"/>
      <protection locked="0"/>
    </xf>
    <xf numFmtId="1" fontId="21" fillId="0" borderId="2" xfId="1" applyNumberFormat="1" applyFont="1" applyFill="1" applyBorder="1" applyAlignment="1" applyProtection="1">
      <alignment horizontal="center"/>
      <protection locked="0"/>
    </xf>
    <xf numFmtId="1" fontId="21" fillId="9" borderId="2" xfId="0" applyNumberFormat="1" applyFont="1" applyFill="1" applyBorder="1" applyAlignment="1" applyProtection="1">
      <alignment horizontal="center"/>
      <protection locked="0"/>
    </xf>
    <xf numFmtId="1" fontId="21" fillId="9" borderId="2" xfId="1" applyNumberFormat="1" applyFont="1" applyFill="1" applyBorder="1" applyAlignment="1" applyProtection="1">
      <alignment horizontal="center"/>
      <protection locked="0"/>
    </xf>
    <xf numFmtId="0" fontId="21" fillId="13" borderId="9" xfId="0" applyFont="1" applyFill="1" applyBorder="1" applyAlignment="1" applyProtection="1">
      <alignment horizontal="center" vertical="center"/>
      <protection locked="0"/>
    </xf>
    <xf numFmtId="0" fontId="21" fillId="0" borderId="16" xfId="0" applyFont="1" applyBorder="1" applyAlignment="1" applyProtection="1">
      <alignment horizontal="center" vertical="center"/>
      <protection locked="0"/>
    </xf>
    <xf numFmtId="0" fontId="21" fillId="9" borderId="16" xfId="0" applyFont="1" applyFill="1" applyBorder="1" applyAlignment="1" applyProtection="1">
      <alignment horizontal="center" vertical="center"/>
      <protection locked="0"/>
    </xf>
    <xf numFmtId="0" fontId="21" fillId="9" borderId="2" xfId="0" applyFont="1" applyFill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27" fillId="4" borderId="0" xfId="0" applyFont="1" applyFill="1" applyAlignment="1">
      <alignment horizontal="left"/>
    </xf>
    <xf numFmtId="0" fontId="6" fillId="20" borderId="21" xfId="0" applyFont="1" applyFill="1" applyBorder="1" applyAlignment="1" applyProtection="1">
      <alignment horizontal="center" vertical="center"/>
      <protection locked="0"/>
    </xf>
    <xf numFmtId="0" fontId="6" fillId="9" borderId="2" xfId="0" applyFont="1" applyFill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1" fontId="60" fillId="25" borderId="10" xfId="0" applyNumberFormat="1" applyFont="1" applyFill="1" applyBorder="1" applyAlignment="1">
      <alignment horizontal="center" wrapText="1"/>
    </xf>
    <xf numFmtId="1" fontId="60" fillId="0" borderId="67" xfId="0" applyNumberFormat="1" applyFont="1" applyBorder="1" applyAlignment="1">
      <alignment horizontal="center" vertical="center"/>
    </xf>
    <xf numFmtId="0" fontId="22" fillId="25" borderId="12" xfId="0" applyFont="1" applyFill="1" applyBorder="1" applyAlignment="1">
      <alignment horizontal="center"/>
    </xf>
    <xf numFmtId="1" fontId="63" fillId="27" borderId="22" xfId="1" applyNumberFormat="1" applyFont="1" applyFill="1" applyBorder="1" applyAlignment="1" applyProtection="1">
      <alignment horizontal="center"/>
    </xf>
    <xf numFmtId="1" fontId="63" fillId="27" borderId="22" xfId="0" applyNumberFormat="1" applyFont="1" applyFill="1" applyBorder="1" applyAlignment="1">
      <alignment horizontal="center"/>
    </xf>
    <xf numFmtId="1" fontId="63" fillId="27" borderId="5" xfId="0" applyNumberFormat="1" applyFont="1" applyFill="1" applyBorder="1" applyAlignment="1">
      <alignment horizontal="center"/>
    </xf>
    <xf numFmtId="1" fontId="63" fillId="9" borderId="2" xfId="0" applyNumberFormat="1" applyFont="1" applyFill="1" applyBorder="1" applyAlignment="1" applyProtection="1">
      <alignment horizontal="center"/>
      <protection locked="0"/>
    </xf>
    <xf numFmtId="1" fontId="63" fillId="9" borderId="25" xfId="0" applyNumberFormat="1" applyFont="1" applyFill="1" applyBorder="1" applyAlignment="1" applyProtection="1">
      <alignment horizontal="center"/>
      <protection locked="0"/>
    </xf>
    <xf numFmtId="1" fontId="63" fillId="9" borderId="36" xfId="0" applyNumberFormat="1" applyFont="1" applyFill="1" applyBorder="1" applyAlignment="1" applyProtection="1">
      <alignment horizontal="center"/>
      <protection locked="0"/>
    </xf>
    <xf numFmtId="1" fontId="60" fillId="12" borderId="10" xfId="0" applyNumberFormat="1" applyFont="1" applyFill="1" applyBorder="1" applyAlignment="1">
      <alignment horizontal="center" wrapText="1"/>
    </xf>
    <xf numFmtId="0" fontId="60" fillId="12" borderId="67" xfId="0" applyFont="1" applyFill="1" applyBorder="1" applyAlignment="1">
      <alignment horizontal="center" vertical="center"/>
    </xf>
    <xf numFmtId="1" fontId="63" fillId="27" borderId="30" xfId="1" applyNumberFormat="1" applyFont="1" applyFill="1" applyBorder="1" applyAlignment="1" applyProtection="1">
      <alignment horizontal="center"/>
    </xf>
    <xf numFmtId="1" fontId="63" fillId="27" borderId="15" xfId="1" applyNumberFormat="1" applyFont="1" applyFill="1" applyBorder="1" applyAlignment="1" applyProtection="1">
      <alignment horizontal="center"/>
    </xf>
    <xf numFmtId="1" fontId="63" fillId="29" borderId="4" xfId="1" applyNumberFormat="1" applyFont="1" applyFill="1" applyBorder="1" applyAlignment="1" applyProtection="1">
      <alignment horizontal="center"/>
    </xf>
    <xf numFmtId="1" fontId="63" fillId="29" borderId="15" xfId="1" applyNumberFormat="1" applyFont="1" applyFill="1" applyBorder="1" applyAlignment="1" applyProtection="1">
      <alignment horizontal="center"/>
    </xf>
    <xf numFmtId="1" fontId="63" fillId="27" borderId="4" xfId="1" applyNumberFormat="1" applyFont="1" applyFill="1" applyBorder="1" applyAlignment="1" applyProtection="1">
      <alignment horizontal="center"/>
    </xf>
    <xf numFmtId="1" fontId="63" fillId="27" borderId="7" xfId="1" applyNumberFormat="1" applyFont="1" applyFill="1" applyBorder="1" applyAlignment="1" applyProtection="1">
      <alignment horizontal="center"/>
    </xf>
    <xf numFmtId="1" fontId="63" fillId="9" borderId="21" xfId="0" applyNumberFormat="1" applyFont="1" applyFill="1" applyBorder="1" applyAlignment="1" applyProtection="1">
      <alignment horizontal="center"/>
      <protection locked="0"/>
    </xf>
    <xf numFmtId="0" fontId="60" fillId="12" borderId="12" xfId="0" applyFont="1" applyFill="1" applyBorder="1" applyAlignment="1">
      <alignment horizontal="center" vertical="center"/>
    </xf>
    <xf numFmtId="1" fontId="63" fillId="32" borderId="11" xfId="1" applyNumberFormat="1" applyFont="1" applyFill="1" applyBorder="1" applyAlignment="1" applyProtection="1">
      <alignment horizontal="center"/>
    </xf>
    <xf numFmtId="1" fontId="63" fillId="23" borderId="11" xfId="0" applyNumberFormat="1" applyFont="1" applyFill="1" applyBorder="1" applyAlignment="1" applyProtection="1">
      <alignment horizontal="center"/>
      <protection locked="0"/>
    </xf>
    <xf numFmtId="1" fontId="63" fillId="32" borderId="13" xfId="1" applyNumberFormat="1" applyFont="1" applyFill="1" applyBorder="1" applyAlignment="1" applyProtection="1">
      <alignment horizontal="center"/>
    </xf>
    <xf numFmtId="1" fontId="63" fillId="23" borderId="13" xfId="0" applyNumberFormat="1" applyFont="1" applyFill="1" applyBorder="1" applyAlignment="1" applyProtection="1">
      <alignment horizontal="center"/>
      <protection locked="0"/>
    </xf>
    <xf numFmtId="1" fontId="60" fillId="24" borderId="10" xfId="0" applyNumberFormat="1" applyFont="1" applyFill="1" applyBorder="1" applyAlignment="1">
      <alignment horizontal="center" wrapText="1"/>
    </xf>
    <xf numFmtId="0" fontId="22" fillId="24" borderId="12" xfId="0" applyFont="1" applyFill="1" applyBorder="1" applyAlignment="1">
      <alignment horizontal="center"/>
    </xf>
    <xf numFmtId="1" fontId="22" fillId="0" borderId="67" xfId="0" applyNumberFormat="1" applyFont="1" applyBorder="1" applyAlignment="1">
      <alignment horizontal="center"/>
    </xf>
    <xf numFmtId="7" fontId="22" fillId="0" borderId="67" xfId="0" applyNumberFormat="1" applyFont="1" applyBorder="1" applyAlignment="1">
      <alignment horizontal="center"/>
    </xf>
    <xf numFmtId="1" fontId="22" fillId="0" borderId="0" xfId="0" applyNumberFormat="1" applyFont="1" applyAlignment="1">
      <alignment horizontal="center"/>
    </xf>
    <xf numFmtId="7" fontId="22" fillId="0" borderId="0" xfId="0" applyNumberFormat="1" applyFont="1" applyAlignment="1">
      <alignment horizontal="center"/>
    </xf>
    <xf numFmtId="7" fontId="60" fillId="0" borderId="67" xfId="0" applyNumberFormat="1" applyFont="1" applyBorder="1" applyAlignment="1">
      <alignment horizontal="center" vertical="center"/>
    </xf>
    <xf numFmtId="1" fontId="60" fillId="0" borderId="10" xfId="0" applyNumberFormat="1" applyFont="1" applyBorder="1" applyAlignment="1">
      <alignment horizontal="center" vertical="center"/>
    </xf>
    <xf numFmtId="1" fontId="63" fillId="27" borderId="31" xfId="1" applyNumberFormat="1" applyFont="1" applyFill="1" applyBorder="1" applyAlignment="1" applyProtection="1">
      <alignment horizontal="center"/>
    </xf>
    <xf numFmtId="1" fontId="63" fillId="23" borderId="11" xfId="2" applyNumberFormat="1" applyFont="1" applyFill="1" applyBorder="1" applyAlignment="1" applyProtection="1">
      <alignment horizontal="center"/>
    </xf>
    <xf numFmtId="49" fontId="63" fillId="23" borderId="17" xfId="2" applyNumberFormat="1" applyFont="1" applyFill="1" applyBorder="1" applyAlignment="1" applyProtection="1">
      <alignment horizontal="center"/>
      <protection locked="0"/>
    </xf>
    <xf numFmtId="0" fontId="21" fillId="23" borderId="13" xfId="0" applyFont="1" applyFill="1" applyBorder="1" applyAlignment="1">
      <alignment horizontal="center"/>
    </xf>
    <xf numFmtId="49" fontId="63" fillId="23" borderId="52" xfId="2" applyNumberFormat="1" applyFont="1" applyFill="1" applyBorder="1" applyAlignment="1" applyProtection="1">
      <alignment horizontal="center"/>
      <protection locked="0"/>
    </xf>
    <xf numFmtId="0" fontId="41" fillId="12" borderId="10" xfId="0" applyFont="1" applyFill="1" applyBorder="1" applyAlignment="1">
      <alignment horizontal="center"/>
    </xf>
    <xf numFmtId="0" fontId="40" fillId="0" borderId="37" xfId="0" applyFont="1" applyBorder="1" applyAlignment="1" applyProtection="1">
      <alignment horizontal="center" vertical="center"/>
      <protection locked="0"/>
    </xf>
    <xf numFmtId="49" fontId="27" fillId="0" borderId="0" xfId="0" applyNumberFormat="1" applyFont="1" applyAlignment="1">
      <alignment horizontal="left"/>
    </xf>
    <xf numFmtId="0" fontId="40" fillId="21" borderId="10" xfId="0" applyFont="1" applyFill="1" applyBorder="1" applyAlignment="1">
      <alignment horizontal="center"/>
    </xf>
    <xf numFmtId="169" fontId="21" fillId="9" borderId="2" xfId="0" quotePrefix="1" applyNumberFormat="1" applyFont="1" applyFill="1" applyBorder="1" applyAlignment="1">
      <alignment horizontal="center"/>
    </xf>
    <xf numFmtId="169" fontId="21" fillId="9" borderId="2" xfId="0" applyNumberFormat="1" applyFont="1" applyFill="1" applyBorder="1" applyAlignment="1">
      <alignment horizontal="center" vertical="center"/>
    </xf>
    <xf numFmtId="0" fontId="40" fillId="0" borderId="32" xfId="0" applyFont="1" applyBorder="1" applyAlignment="1" applyProtection="1">
      <alignment horizontal="center" vertical="center"/>
      <protection locked="0"/>
    </xf>
    <xf numFmtId="0" fontId="40" fillId="21" borderId="67" xfId="0" applyFont="1" applyFill="1" applyBorder="1" applyAlignment="1">
      <alignment horizontal="center"/>
    </xf>
    <xf numFmtId="169" fontId="21" fillId="0" borderId="2" xfId="0" quotePrefix="1" applyNumberFormat="1" applyFont="1" applyBorder="1" applyAlignment="1">
      <alignment horizontal="center"/>
    </xf>
    <xf numFmtId="169" fontId="21" fillId="4" borderId="2" xfId="0" applyNumberFormat="1" applyFont="1" applyFill="1" applyBorder="1" applyAlignment="1">
      <alignment horizontal="center" vertical="center"/>
    </xf>
    <xf numFmtId="0" fontId="40" fillId="21" borderId="62" xfId="0" applyFont="1" applyFill="1" applyBorder="1" applyAlignment="1">
      <alignment horizontal="center"/>
    </xf>
    <xf numFmtId="49" fontId="40" fillId="21" borderId="13" xfId="0" applyNumberFormat="1" applyFont="1" applyFill="1" applyBorder="1"/>
    <xf numFmtId="49" fontId="40" fillId="21" borderId="51" xfId="0" applyNumberFormat="1" applyFont="1" applyFill="1" applyBorder="1"/>
    <xf numFmtId="49" fontId="40" fillId="21" borderId="12" xfId="0" applyNumberFormat="1" applyFont="1" applyFill="1" applyBorder="1"/>
    <xf numFmtId="3" fontId="41" fillId="21" borderId="13" xfId="0" applyNumberFormat="1" applyFont="1" applyFill="1" applyBorder="1" applyAlignment="1">
      <alignment horizontal="center"/>
    </xf>
    <xf numFmtId="3" fontId="41" fillId="21" borderId="52" xfId="0" applyNumberFormat="1" applyFont="1" applyFill="1" applyBorder="1" applyAlignment="1">
      <alignment horizontal="center"/>
    </xf>
    <xf numFmtId="0" fontId="41" fillId="21" borderId="62" xfId="0" applyFont="1" applyFill="1" applyBorder="1" applyAlignment="1">
      <alignment horizontal="center"/>
    </xf>
    <xf numFmtId="169" fontId="41" fillId="21" borderId="12" xfId="0" applyNumberFormat="1" applyFont="1" applyFill="1" applyBorder="1" applyAlignment="1">
      <alignment horizontal="center"/>
    </xf>
    <xf numFmtId="169" fontId="41" fillId="21" borderId="97" xfId="0" applyNumberFormat="1" applyFont="1" applyFill="1" applyBorder="1"/>
    <xf numFmtId="0" fontId="9" fillId="0" borderId="61" xfId="0" applyFont="1" applyBorder="1" applyAlignment="1">
      <alignment horizontal="center" vertical="center"/>
    </xf>
    <xf numFmtId="0" fontId="74" fillId="0" borderId="0" xfId="0" applyFont="1"/>
    <xf numFmtId="169" fontId="9" fillId="4" borderId="62" xfId="0" applyNumberFormat="1" applyFont="1" applyFill="1" applyBorder="1" applyAlignment="1">
      <alignment horizontal="center" vertical="center"/>
    </xf>
    <xf numFmtId="49" fontId="6" fillId="0" borderId="0" xfId="2" applyNumberFormat="1" applyFont="1" applyFill="1" applyBorder="1"/>
    <xf numFmtId="0" fontId="3" fillId="0" borderId="1" xfId="3" applyBorder="1" applyAlignment="1">
      <alignment horizontal="center"/>
    </xf>
    <xf numFmtId="0" fontId="3" fillId="0" borderId="1" xfId="3" applyBorder="1" applyAlignment="1">
      <alignment horizontal="center" vertical="center"/>
    </xf>
    <xf numFmtId="0" fontId="3" fillId="12" borderId="1" xfId="3" applyFill="1" applyBorder="1" applyAlignment="1">
      <alignment vertical="center"/>
    </xf>
    <xf numFmtId="0" fontId="3" fillId="23" borderId="1" xfId="3" applyFill="1" applyBorder="1" applyAlignment="1">
      <alignment horizontal="center"/>
    </xf>
    <xf numFmtId="0" fontId="0" fillId="0" borderId="1" xfId="0" applyBorder="1"/>
    <xf numFmtId="0" fontId="3" fillId="0" borderId="6" xfId="3" applyBorder="1" applyAlignment="1">
      <alignment horizontal="center" vertical="center"/>
    </xf>
    <xf numFmtId="0" fontId="3" fillId="12" borderId="6" xfId="3" applyFill="1" applyBorder="1" applyAlignment="1">
      <alignment vertical="center"/>
    </xf>
    <xf numFmtId="0" fontId="3" fillId="0" borderId="6" xfId="3" applyBorder="1" applyAlignment="1">
      <alignment horizontal="center"/>
    </xf>
    <xf numFmtId="0" fontId="0" fillId="0" borderId="6" xfId="0" applyBorder="1"/>
    <xf numFmtId="0" fontId="3" fillId="24" borderId="1" xfId="3" applyFill="1" applyBorder="1" applyAlignment="1">
      <alignment vertical="center"/>
    </xf>
    <xf numFmtId="0" fontId="3" fillId="24" borderId="6" xfId="3" applyFill="1" applyBorder="1" applyAlignment="1">
      <alignment vertical="center"/>
    </xf>
    <xf numFmtId="0" fontId="3" fillId="23" borderId="6" xfId="3" applyFill="1" applyBorder="1" applyAlignment="1">
      <alignment horizontal="center"/>
    </xf>
    <xf numFmtId="0" fontId="3" fillId="25" borderId="6" xfId="3" applyFill="1" applyBorder="1" applyAlignment="1">
      <alignment vertical="center"/>
    </xf>
    <xf numFmtId="0" fontId="3" fillId="25" borderId="1" xfId="3" applyFill="1" applyBorder="1" applyAlignment="1">
      <alignment vertical="center"/>
    </xf>
    <xf numFmtId="0" fontId="1" fillId="0" borderId="0" xfId="3" applyFont="1" applyAlignment="1">
      <alignment horizontal="center"/>
    </xf>
    <xf numFmtId="0" fontId="1" fillId="0" borderId="0" xfId="3" applyFont="1" applyAlignment="1">
      <alignment horizontal="center" vertical="center"/>
    </xf>
    <xf numFmtId="0" fontId="1" fillId="0" borderId="0" xfId="3" applyFont="1" applyAlignment="1">
      <alignment horizontal="left"/>
    </xf>
    <xf numFmtId="0" fontId="1" fillId="0" borderId="1" xfId="3" applyFont="1" applyBorder="1" applyAlignment="1">
      <alignment horizontal="center" vertical="center"/>
    </xf>
    <xf numFmtId="0" fontId="1" fillId="0" borderId="1" xfId="3" applyFont="1" applyBorder="1" applyAlignment="1">
      <alignment horizontal="left"/>
    </xf>
    <xf numFmtId="0" fontId="1" fillId="0" borderId="6" xfId="3" applyFont="1" applyBorder="1" applyAlignment="1">
      <alignment horizontal="center" vertical="center"/>
    </xf>
    <xf numFmtId="0" fontId="1" fillId="0" borderId="6" xfId="3" applyFont="1" applyBorder="1" applyAlignment="1">
      <alignment horizontal="left"/>
    </xf>
    <xf numFmtId="0" fontId="1" fillId="0" borderId="1" xfId="3" applyFont="1" applyBorder="1" applyAlignment="1">
      <alignment horizontal="center"/>
    </xf>
    <xf numFmtId="0" fontId="1" fillId="0" borderId="6" xfId="3" applyFont="1" applyBorder="1" applyAlignment="1">
      <alignment horizontal="center"/>
    </xf>
    <xf numFmtId="0" fontId="1" fillId="28" borderId="0" xfId="3" applyFont="1" applyFill="1" applyAlignment="1">
      <alignment vertical="center"/>
    </xf>
    <xf numFmtId="0" fontId="1" fillId="24" borderId="0" xfId="3" applyFont="1" applyFill="1" applyAlignment="1">
      <alignment vertical="center"/>
    </xf>
    <xf numFmtId="0" fontId="56" fillId="0" borderId="13" xfId="0" applyFont="1" applyBorder="1" applyAlignment="1">
      <alignment vertical="center"/>
    </xf>
    <xf numFmtId="0" fontId="50" fillId="0" borderId="10" xfId="0" applyFont="1" applyBorder="1" applyAlignment="1">
      <alignment vertical="center"/>
    </xf>
    <xf numFmtId="0" fontId="50" fillId="0" borderId="11" xfId="0" applyFont="1" applyBorder="1" applyAlignment="1">
      <alignment vertical="center"/>
    </xf>
    <xf numFmtId="0" fontId="50" fillId="0" borderId="17" xfId="0" applyFont="1" applyBorder="1" applyAlignment="1">
      <alignment vertical="center"/>
    </xf>
    <xf numFmtId="1" fontId="63" fillId="32" borderId="0" xfId="1" applyNumberFormat="1" applyFont="1" applyFill="1" applyBorder="1" applyAlignment="1" applyProtection="1">
      <alignment horizontal="center"/>
    </xf>
    <xf numFmtId="1" fontId="63" fillId="29" borderId="30" xfId="1" applyNumberFormat="1" applyFont="1" applyFill="1" applyBorder="1" applyAlignment="1" applyProtection="1">
      <alignment horizontal="center"/>
    </xf>
    <xf numFmtId="1" fontId="63" fillId="29" borderId="36" xfId="1" applyNumberFormat="1" applyFont="1" applyFill="1" applyBorder="1" applyAlignment="1" applyProtection="1">
      <alignment horizontal="center"/>
    </xf>
    <xf numFmtId="1" fontId="63" fillId="29" borderId="36" xfId="0" applyNumberFormat="1" applyFont="1" applyFill="1" applyBorder="1" applyAlignment="1">
      <alignment horizontal="center"/>
    </xf>
    <xf numFmtId="1" fontId="63" fillId="29" borderId="3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9" fontId="30" fillId="0" borderId="0" xfId="0" applyNumberFormat="1" applyFont="1" applyAlignment="1">
      <alignment horizontal="left" vertical="center"/>
    </xf>
    <xf numFmtId="49" fontId="73" fillId="0" borderId="0" xfId="0" applyNumberFormat="1" applyFont="1" applyAlignment="1">
      <alignment horizontal="left" vertical="center"/>
    </xf>
    <xf numFmtId="37" fontId="9" fillId="0" borderId="37" xfId="0" applyNumberFormat="1" applyFont="1" applyBorder="1" applyAlignment="1">
      <alignment horizontal="center"/>
    </xf>
    <xf numFmtId="169" fontId="9" fillId="0" borderId="35" xfId="0" applyNumberFormat="1" applyFont="1" applyBorder="1" applyAlignment="1">
      <alignment horizontal="center"/>
    </xf>
    <xf numFmtId="0" fontId="41" fillId="0" borderId="5" xfId="0" applyFont="1" applyBorder="1" applyAlignment="1">
      <alignment horizontal="center"/>
    </xf>
    <xf numFmtId="1" fontId="40" fillId="7" borderId="30" xfId="0" applyNumberFormat="1" applyFont="1" applyFill="1" applyBorder="1" applyAlignment="1">
      <alignment horizontal="center" vertical="center"/>
    </xf>
    <xf numFmtId="1" fontId="40" fillId="7" borderId="15" xfId="0" applyNumberFormat="1" applyFont="1" applyFill="1" applyBorder="1" applyAlignment="1">
      <alignment horizontal="center" vertical="center"/>
    </xf>
    <xf numFmtId="1" fontId="40" fillId="0" borderId="15" xfId="0" applyNumberFormat="1" applyFont="1" applyBorder="1" applyAlignment="1" applyProtection="1">
      <alignment horizontal="center" vertical="center"/>
      <protection locked="0"/>
    </xf>
    <xf numFmtId="1" fontId="40" fillId="9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43" xfId="0" applyFont="1" applyBorder="1" applyAlignment="1">
      <alignment horizontal="center"/>
    </xf>
    <xf numFmtId="44" fontId="41" fillId="0" borderId="94" xfId="2" applyFont="1" applyBorder="1" applyAlignment="1" applyProtection="1">
      <alignment horizontal="center" vertical="center"/>
    </xf>
    <xf numFmtId="49" fontId="41" fillId="4" borderId="47" xfId="0" applyNumberFormat="1" applyFont="1" applyFill="1" applyBorder="1"/>
    <xf numFmtId="49" fontId="41" fillId="4" borderId="44" xfId="0" applyNumberFormat="1" applyFont="1" applyFill="1" applyBorder="1"/>
    <xf numFmtId="0" fontId="10" fillId="0" borderId="20" xfId="0" applyFont="1" applyBorder="1" applyAlignment="1">
      <alignment horizontal="center"/>
    </xf>
    <xf numFmtId="0" fontId="6" fillId="20" borderId="63" xfId="0" applyFont="1" applyFill="1" applyBorder="1" applyAlignment="1">
      <alignment horizontal="center"/>
    </xf>
    <xf numFmtId="0" fontId="10" fillId="12" borderId="20" xfId="0" applyFont="1" applyFill="1" applyBorder="1" applyAlignment="1">
      <alignment horizontal="center"/>
    </xf>
    <xf numFmtId="1" fontId="63" fillId="30" borderId="25" xfId="1" applyNumberFormat="1" applyFont="1" applyFill="1" applyBorder="1" applyAlignment="1" applyProtection="1">
      <alignment horizontal="center"/>
    </xf>
    <xf numFmtId="1" fontId="63" fillId="0" borderId="25" xfId="0" applyNumberFormat="1" applyFont="1" applyBorder="1" applyAlignment="1" applyProtection="1">
      <alignment horizontal="center"/>
      <protection locked="0"/>
    </xf>
    <xf numFmtId="0" fontId="9" fillId="12" borderId="49" xfId="0" applyFont="1" applyFill="1" applyBorder="1" applyAlignment="1">
      <alignment horizontal="right"/>
    </xf>
    <xf numFmtId="0" fontId="21" fillId="0" borderId="67" xfId="0" applyFont="1" applyBorder="1"/>
    <xf numFmtId="1" fontId="63" fillId="27" borderId="3" xfId="1" applyNumberFormat="1" applyFont="1" applyFill="1" applyBorder="1" applyAlignment="1" applyProtection="1">
      <alignment horizontal="center"/>
    </xf>
    <xf numFmtId="1" fontId="63" fillId="27" borderId="107" xfId="1" applyNumberFormat="1" applyFont="1" applyFill="1" applyBorder="1" applyAlignment="1" applyProtection="1">
      <alignment horizontal="center"/>
    </xf>
    <xf numFmtId="1" fontId="63" fillId="27" borderId="107" xfId="0" applyNumberFormat="1" applyFont="1" applyFill="1" applyBorder="1" applyAlignment="1">
      <alignment horizontal="center"/>
    </xf>
    <xf numFmtId="1" fontId="63" fillId="27" borderId="8" xfId="0" applyNumberFormat="1" applyFont="1" applyFill="1" applyBorder="1" applyAlignment="1">
      <alignment horizontal="center"/>
    </xf>
    <xf numFmtId="0" fontId="21" fillId="23" borderId="11" xfId="0" applyFont="1" applyFill="1" applyBorder="1" applyAlignment="1">
      <alignment horizontal="center"/>
    </xf>
    <xf numFmtId="1" fontId="63" fillId="0" borderId="107" xfId="0" applyNumberFormat="1" applyFont="1" applyBorder="1" applyAlignment="1" applyProtection="1">
      <alignment horizontal="center"/>
      <protection locked="0"/>
    </xf>
    <xf numFmtId="1" fontId="63" fillId="27" borderId="16" xfId="1" applyNumberFormat="1" applyFont="1" applyFill="1" applyBorder="1" applyAlignment="1" applyProtection="1">
      <alignment horizontal="center"/>
    </xf>
    <xf numFmtId="1" fontId="60" fillId="24" borderId="67" xfId="0" applyNumberFormat="1" applyFont="1" applyFill="1" applyBorder="1" applyAlignment="1">
      <alignment horizontal="center" wrapText="1"/>
    </xf>
    <xf numFmtId="0" fontId="9" fillId="36" borderId="61" xfId="0" applyFont="1" applyFill="1" applyBorder="1" applyAlignment="1">
      <alignment horizontal="right"/>
    </xf>
    <xf numFmtId="0" fontId="9" fillId="36" borderId="20" xfId="0" applyFont="1" applyFill="1" applyBorder="1" applyAlignment="1">
      <alignment horizontal="right"/>
    </xf>
    <xf numFmtId="49" fontId="6" fillId="9" borderId="39" xfId="0" applyNumberFormat="1" applyFont="1" applyFill="1" applyBorder="1" applyAlignment="1" applyProtection="1">
      <alignment horizontal="center"/>
      <protection locked="0"/>
    </xf>
    <xf numFmtId="49" fontId="6" fillId="9" borderId="4" xfId="0" applyNumberFormat="1" applyFont="1" applyFill="1" applyBorder="1"/>
    <xf numFmtId="49" fontId="6" fillId="4" borderId="29" xfId="0" applyNumberFormat="1" applyFont="1" applyFill="1" applyBorder="1" applyAlignment="1" applyProtection="1">
      <alignment horizontal="center"/>
      <protection locked="0"/>
    </xf>
    <xf numFmtId="0" fontId="6" fillId="4" borderId="15" xfId="0" quotePrefix="1" applyFont="1" applyFill="1" applyBorder="1" applyAlignment="1" applyProtection="1">
      <alignment horizontal="left" vertical="center"/>
      <protection locked="0"/>
    </xf>
    <xf numFmtId="0" fontId="6" fillId="35" borderId="19" xfId="0" applyFont="1" applyFill="1" applyBorder="1" applyAlignment="1">
      <alignment horizontal="center"/>
    </xf>
    <xf numFmtId="49" fontId="6" fillId="35" borderId="23" xfId="0" applyNumberFormat="1" applyFont="1" applyFill="1" applyBorder="1" applyAlignment="1" applyProtection="1">
      <alignment horizontal="center"/>
      <protection locked="0"/>
    </xf>
    <xf numFmtId="169" fontId="10" fillId="35" borderId="23" xfId="0" applyNumberFormat="1" applyFont="1" applyFill="1" applyBorder="1" applyAlignment="1">
      <alignment horizontal="center" vertical="center"/>
    </xf>
    <xf numFmtId="1" fontId="6" fillId="35" borderId="19" xfId="0" applyNumberFormat="1" applyFont="1" applyFill="1" applyBorder="1" applyAlignment="1">
      <alignment horizontal="center" vertical="center"/>
    </xf>
    <xf numFmtId="0" fontId="6" fillId="35" borderId="59" xfId="0" applyFont="1" applyFill="1" applyBorder="1" applyAlignment="1" applyProtection="1">
      <alignment horizontal="center" vertical="center"/>
      <protection locked="0"/>
    </xf>
    <xf numFmtId="169" fontId="4" fillId="0" borderId="0" xfId="0" applyNumberFormat="1" applyFont="1" applyAlignment="1">
      <alignment vertical="center" wrapText="1"/>
    </xf>
    <xf numFmtId="3" fontId="4" fillId="0" borderId="0" xfId="0" applyNumberFormat="1" applyFont="1"/>
    <xf numFmtId="169" fontId="4" fillId="0" borderId="0" xfId="0" applyNumberFormat="1" applyFont="1"/>
    <xf numFmtId="1" fontId="6" fillId="34" borderId="2" xfId="0" applyNumberFormat="1" applyFont="1" applyFill="1" applyBorder="1" applyAlignment="1">
      <alignment horizontal="center"/>
    </xf>
    <xf numFmtId="169" fontId="6" fillId="34" borderId="32" xfId="0" applyNumberFormat="1" applyFont="1" applyFill="1" applyBorder="1" applyAlignment="1">
      <alignment horizontal="center" vertical="center"/>
    </xf>
    <xf numFmtId="49" fontId="6" fillId="34" borderId="29" xfId="0" applyNumberFormat="1" applyFont="1" applyFill="1" applyBorder="1"/>
    <xf numFmtId="49" fontId="6" fillId="34" borderId="6" xfId="0" applyNumberFormat="1" applyFont="1" applyFill="1" applyBorder="1" applyAlignment="1">
      <alignment horizontal="center"/>
    </xf>
    <xf numFmtId="49" fontId="6" fillId="34" borderId="16" xfId="0" applyNumberFormat="1" applyFont="1" applyFill="1" applyBorder="1"/>
    <xf numFmtId="49" fontId="6" fillId="34" borderId="14" xfId="0" applyNumberFormat="1" applyFont="1" applyFill="1" applyBorder="1"/>
    <xf numFmtId="49" fontId="10" fillId="34" borderId="2" xfId="0" applyNumberFormat="1" applyFont="1" applyFill="1" applyBorder="1" applyAlignment="1">
      <alignment horizontal="center"/>
    </xf>
    <xf numFmtId="0" fontId="10" fillId="36" borderId="20" xfId="0" applyFont="1" applyFill="1" applyBorder="1" applyAlignment="1">
      <alignment horizontal="center"/>
    </xf>
    <xf numFmtId="0" fontId="22" fillId="12" borderId="12" xfId="0" applyFont="1" applyFill="1" applyBorder="1" applyAlignment="1">
      <alignment horizontal="center"/>
    </xf>
    <xf numFmtId="0" fontId="74" fillId="0" borderId="0" xfId="0" applyFont="1" applyAlignment="1">
      <alignment horizontal="center" vertical="center" wrapText="1"/>
    </xf>
    <xf numFmtId="0" fontId="74" fillId="0" borderId="0" xfId="0" applyFont="1" applyAlignment="1">
      <alignment horizontal="center"/>
    </xf>
    <xf numFmtId="0" fontId="74" fillId="0" borderId="13" xfId="0" applyFont="1" applyBorder="1" applyAlignment="1">
      <alignment horizontal="center" vertical="center" wrapText="1"/>
    </xf>
    <xf numFmtId="1" fontId="63" fillId="9" borderId="22" xfId="0" applyNumberFormat="1" applyFont="1" applyFill="1" applyBorder="1" applyAlignment="1" applyProtection="1">
      <alignment horizontal="center"/>
      <protection locked="0"/>
    </xf>
    <xf numFmtId="1" fontId="63" fillId="0" borderId="22" xfId="0" applyNumberFormat="1" applyFont="1" applyBorder="1" applyAlignment="1" applyProtection="1">
      <alignment horizontal="center"/>
      <protection locked="0"/>
    </xf>
    <xf numFmtId="0" fontId="4" fillId="0" borderId="67" xfId="0" applyFont="1" applyBorder="1" applyAlignment="1">
      <alignment horizontal="center"/>
    </xf>
    <xf numFmtId="169" fontId="22" fillId="0" borderId="12" xfId="0" applyNumberFormat="1" applyFont="1" applyBorder="1" applyAlignment="1">
      <alignment horizontal="center"/>
    </xf>
    <xf numFmtId="0" fontId="21" fillId="23" borderId="0" xfId="0" applyFont="1" applyFill="1" applyAlignment="1">
      <alignment horizontal="center"/>
    </xf>
    <xf numFmtId="1" fontId="63" fillId="23" borderId="0" xfId="0" applyNumberFormat="1" applyFont="1" applyFill="1" applyAlignment="1" applyProtection="1">
      <alignment horizontal="center"/>
      <protection locked="0"/>
    </xf>
    <xf numFmtId="1" fontId="63" fillId="23" borderId="0" xfId="2" applyNumberFormat="1" applyFont="1" applyFill="1" applyBorder="1" applyAlignment="1" applyProtection="1">
      <alignment horizontal="center"/>
    </xf>
    <xf numFmtId="1" fontId="63" fillId="27" borderId="9" xfId="1" applyNumberFormat="1" applyFont="1" applyFill="1" applyBorder="1" applyAlignment="1" applyProtection="1">
      <alignment horizontal="center"/>
    </xf>
    <xf numFmtId="170" fontId="6" fillId="20" borderId="21" xfId="0" applyNumberFormat="1" applyFont="1" applyFill="1" applyBorder="1" applyAlignment="1" applyProtection="1">
      <alignment horizontal="center"/>
      <protection locked="0"/>
    </xf>
    <xf numFmtId="49" fontId="63" fillId="23" borderId="24" xfId="2" applyNumberFormat="1" applyFont="1" applyFill="1" applyBorder="1" applyAlignment="1" applyProtection="1">
      <alignment horizontal="center"/>
      <protection locked="0"/>
    </xf>
    <xf numFmtId="1" fontId="60" fillId="12" borderId="67" xfId="0" applyNumberFormat="1" applyFont="1" applyFill="1" applyBorder="1" applyAlignment="1">
      <alignment horizontal="center" wrapText="1"/>
    </xf>
    <xf numFmtId="0" fontId="4" fillId="0" borderId="12" xfId="0" applyFont="1" applyBorder="1" applyAlignment="1">
      <alignment horizontal="center"/>
    </xf>
    <xf numFmtId="0" fontId="63" fillId="23" borderId="63" xfId="0" applyFont="1" applyFill="1" applyBorder="1" applyAlignment="1" applyProtection="1">
      <alignment horizontal="center" vertical="center"/>
      <protection locked="0"/>
    </xf>
    <xf numFmtId="0" fontId="63" fillId="23" borderId="62" xfId="0" applyFont="1" applyFill="1" applyBorder="1" applyAlignment="1" applyProtection="1">
      <alignment horizontal="center" vertical="center"/>
      <protection locked="0"/>
    </xf>
    <xf numFmtId="1" fontId="63" fillId="30" borderId="16" xfId="1" applyNumberFormat="1" applyFont="1" applyFill="1" applyBorder="1" applyAlignment="1" applyProtection="1">
      <alignment horizontal="center"/>
    </xf>
    <xf numFmtId="1" fontId="63" fillId="30" borderId="26" xfId="1" applyNumberFormat="1" applyFont="1" applyFill="1" applyBorder="1" applyAlignment="1" applyProtection="1">
      <alignment horizontal="center"/>
    </xf>
    <xf numFmtId="7" fontId="60" fillId="0" borderId="12" xfId="0" applyNumberFormat="1" applyFont="1" applyBorder="1" applyAlignment="1">
      <alignment horizontal="center"/>
    </xf>
    <xf numFmtId="8" fontId="60" fillId="0" borderId="12" xfId="0" applyNumberFormat="1" applyFont="1" applyBorder="1" applyAlignment="1">
      <alignment horizontal="center"/>
    </xf>
    <xf numFmtId="1" fontId="63" fillId="29" borderId="25" xfId="1" applyNumberFormat="1" applyFont="1" applyFill="1" applyBorder="1" applyAlignment="1" applyProtection="1">
      <alignment horizontal="center"/>
    </xf>
    <xf numFmtId="0" fontId="9" fillId="33" borderId="28" xfId="0" applyFont="1" applyFill="1" applyBorder="1" applyAlignment="1">
      <alignment horizontal="right"/>
    </xf>
    <xf numFmtId="0" fontId="9" fillId="33" borderId="29" xfId="0" applyFont="1" applyFill="1" applyBorder="1" applyAlignment="1">
      <alignment horizontal="right"/>
    </xf>
    <xf numFmtId="166" fontId="9" fillId="33" borderId="2" xfId="2" applyNumberFormat="1" applyFont="1" applyFill="1" applyBorder="1" applyAlignment="1" applyProtection="1"/>
    <xf numFmtId="166" fontId="9" fillId="33" borderId="32" xfId="2" applyNumberFormat="1" applyFont="1" applyFill="1" applyBorder="1" applyAlignment="1" applyProtection="1"/>
    <xf numFmtId="0" fontId="10" fillId="10" borderId="105" xfId="0" applyFont="1" applyFill="1" applyBorder="1" applyAlignment="1" applyProtection="1">
      <alignment horizontal="center"/>
      <protection locked="0"/>
    </xf>
    <xf numFmtId="0" fontId="10" fillId="10" borderId="102" xfId="0" applyFont="1" applyFill="1" applyBorder="1" applyAlignment="1" applyProtection="1">
      <alignment horizontal="center" vertical="center"/>
      <protection locked="0"/>
    </xf>
    <xf numFmtId="1" fontId="63" fillId="9" borderId="16" xfId="2" applyNumberFormat="1" applyFont="1" applyFill="1" applyBorder="1" applyAlignment="1" applyProtection="1">
      <alignment horizontal="center"/>
    </xf>
    <xf numFmtId="1" fontId="63" fillId="0" borderId="66" xfId="2" applyNumberFormat="1" applyFont="1" applyFill="1" applyBorder="1" applyAlignment="1" applyProtection="1">
      <alignment horizontal="center"/>
    </xf>
    <xf numFmtId="1" fontId="63" fillId="9" borderId="66" xfId="2" applyNumberFormat="1" applyFont="1" applyFill="1" applyBorder="1" applyAlignment="1" applyProtection="1">
      <alignment horizontal="center"/>
    </xf>
    <xf numFmtId="1" fontId="63" fillId="0" borderId="38" xfId="2" applyNumberFormat="1" applyFont="1" applyFill="1" applyBorder="1" applyAlignment="1" applyProtection="1">
      <alignment horizontal="center"/>
    </xf>
    <xf numFmtId="1" fontId="63" fillId="9" borderId="64" xfId="2" applyNumberFormat="1" applyFont="1" applyFill="1" applyBorder="1" applyAlignment="1" applyProtection="1">
      <alignment horizontal="center"/>
    </xf>
    <xf numFmtId="1" fontId="63" fillId="0" borderId="91" xfId="2" applyNumberFormat="1" applyFont="1" applyFill="1" applyBorder="1" applyAlignment="1" applyProtection="1">
      <alignment horizontal="center"/>
    </xf>
    <xf numFmtId="1" fontId="63" fillId="9" borderId="93" xfId="2" applyNumberFormat="1" applyFont="1" applyFill="1" applyBorder="1" applyAlignment="1" applyProtection="1">
      <alignment horizontal="center"/>
    </xf>
    <xf numFmtId="1" fontId="63" fillId="0" borderId="64" xfId="2" applyNumberFormat="1" applyFont="1" applyFill="1" applyBorder="1" applyAlignment="1" applyProtection="1">
      <alignment horizontal="center"/>
    </xf>
    <xf numFmtId="1" fontId="63" fillId="9" borderId="91" xfId="2" applyNumberFormat="1" applyFont="1" applyFill="1" applyBorder="1" applyAlignment="1" applyProtection="1">
      <alignment horizontal="center"/>
    </xf>
    <xf numFmtId="1" fontId="63" fillId="0" borderId="93" xfId="2" applyNumberFormat="1" applyFont="1" applyFill="1" applyBorder="1" applyAlignment="1" applyProtection="1">
      <alignment horizontal="center"/>
    </xf>
    <xf numFmtId="8" fontId="63" fillId="9" borderId="56" xfId="1" applyNumberFormat="1" applyFont="1" applyFill="1" applyBorder="1" applyAlignment="1" applyProtection="1">
      <alignment horizontal="center"/>
    </xf>
    <xf numFmtId="169" fontId="63" fillId="9" borderId="57" xfId="6" applyNumberFormat="1" applyFont="1" applyFill="1" applyBorder="1" applyAlignment="1">
      <alignment horizontal="center" vertical="center"/>
    </xf>
    <xf numFmtId="169" fontId="63" fillId="9" borderId="69" xfId="6" applyNumberFormat="1" applyFont="1" applyFill="1" applyBorder="1" applyAlignment="1">
      <alignment horizontal="center" vertical="center"/>
    </xf>
    <xf numFmtId="8" fontId="63" fillId="0" borderId="57" xfId="1" applyNumberFormat="1" applyFont="1" applyFill="1" applyBorder="1" applyAlignment="1" applyProtection="1">
      <alignment horizontal="center"/>
    </xf>
    <xf numFmtId="169" fontId="63" fillId="0" borderId="57" xfId="6" applyNumberFormat="1" applyFont="1" applyBorder="1" applyAlignment="1">
      <alignment horizontal="center" vertical="center"/>
    </xf>
    <xf numFmtId="169" fontId="63" fillId="0" borderId="58" xfId="6" applyNumberFormat="1" applyFont="1" applyBorder="1" applyAlignment="1">
      <alignment horizontal="center" vertical="center"/>
    </xf>
    <xf numFmtId="8" fontId="63" fillId="9" borderId="65" xfId="1" applyNumberFormat="1" applyFont="1" applyFill="1" applyBorder="1" applyAlignment="1" applyProtection="1">
      <alignment horizontal="center"/>
    </xf>
    <xf numFmtId="169" fontId="63" fillId="0" borderId="69" xfId="6" applyNumberFormat="1" applyFont="1" applyBorder="1" applyAlignment="1">
      <alignment horizontal="center" vertical="center"/>
    </xf>
    <xf numFmtId="169" fontId="63" fillId="9" borderId="56" xfId="6" applyNumberFormat="1" applyFont="1" applyFill="1" applyBorder="1" applyAlignment="1">
      <alignment horizontal="center" vertical="center"/>
    </xf>
    <xf numFmtId="169" fontId="63" fillId="0" borderId="65" xfId="6" applyNumberFormat="1" applyFont="1" applyBorder="1" applyAlignment="1">
      <alignment horizontal="center" vertical="center"/>
    </xf>
    <xf numFmtId="169" fontId="63" fillId="0" borderId="56" xfId="6" applyNumberFormat="1" applyFont="1" applyBorder="1" applyAlignment="1">
      <alignment horizontal="center" vertical="center"/>
    </xf>
    <xf numFmtId="169" fontId="63" fillId="9" borderId="58" xfId="6" applyNumberFormat="1" applyFont="1" applyFill="1" applyBorder="1" applyAlignment="1">
      <alignment horizontal="center" vertical="center"/>
    </xf>
    <xf numFmtId="169" fontId="9" fillId="0" borderId="52" xfId="0" applyNumberFormat="1" applyFont="1" applyBorder="1" applyAlignment="1">
      <alignment horizontal="center" vertical="center"/>
    </xf>
    <xf numFmtId="1" fontId="9" fillId="26" borderId="60" xfId="2" applyNumberFormat="1" applyFont="1" applyFill="1" applyBorder="1" applyAlignment="1" applyProtection="1">
      <alignment horizontal="center" vertical="center"/>
    </xf>
    <xf numFmtId="3" fontId="9" fillId="19" borderId="37" xfId="0" applyNumberFormat="1" applyFont="1" applyFill="1" applyBorder="1" applyAlignment="1">
      <alignment horizontal="center"/>
    </xf>
    <xf numFmtId="3" fontId="9" fillId="19" borderId="35" xfId="0" applyNumberFormat="1" applyFont="1" applyFill="1" applyBorder="1" applyAlignment="1">
      <alignment horizontal="center"/>
    </xf>
    <xf numFmtId="0" fontId="61" fillId="0" borderId="17" xfId="0" applyFont="1" applyBorder="1" applyAlignment="1">
      <alignment horizontal="center"/>
    </xf>
    <xf numFmtId="169" fontId="63" fillId="9" borderId="61" xfId="6" applyNumberFormat="1" applyFont="1" applyFill="1" applyBorder="1" applyAlignment="1">
      <alignment horizontal="center" vertical="center"/>
    </xf>
    <xf numFmtId="8" fontId="63" fillId="23" borderId="63" xfId="1" applyNumberFormat="1" applyFont="1" applyFill="1" applyBorder="1" applyAlignment="1" applyProtection="1">
      <alignment horizontal="center"/>
    </xf>
    <xf numFmtId="8" fontId="63" fillId="23" borderId="62" xfId="1" applyNumberFormat="1" applyFont="1" applyFill="1" applyBorder="1" applyAlignment="1" applyProtection="1">
      <alignment horizontal="center"/>
    </xf>
    <xf numFmtId="169" fontId="63" fillId="9" borderId="65" xfId="6" applyNumberFormat="1" applyFont="1" applyFill="1" applyBorder="1" applyAlignment="1">
      <alignment horizontal="center" vertical="center"/>
    </xf>
    <xf numFmtId="8" fontId="63" fillId="23" borderId="61" xfId="1" applyNumberFormat="1" applyFont="1" applyFill="1" applyBorder="1" applyAlignment="1" applyProtection="1">
      <alignment horizontal="center"/>
    </xf>
    <xf numFmtId="8" fontId="63" fillId="9" borderId="57" xfId="1" applyNumberFormat="1" applyFont="1" applyFill="1" applyBorder="1" applyAlignment="1" applyProtection="1">
      <alignment horizontal="center"/>
    </xf>
    <xf numFmtId="8" fontId="63" fillId="0" borderId="58" xfId="1" applyNumberFormat="1" applyFont="1" applyFill="1" applyBorder="1" applyAlignment="1" applyProtection="1">
      <alignment horizontal="center"/>
    </xf>
    <xf numFmtId="169" fontId="9" fillId="26" borderId="97" xfId="2" applyNumberFormat="1" applyFont="1" applyFill="1" applyBorder="1" applyAlignment="1" applyProtection="1">
      <alignment horizontal="center" vertical="center"/>
    </xf>
    <xf numFmtId="7" fontId="22" fillId="0" borderId="12" xfId="0" applyNumberFormat="1" applyFont="1" applyBorder="1" applyAlignment="1">
      <alignment horizontal="center"/>
    </xf>
    <xf numFmtId="0" fontId="60" fillId="0" borderId="67" xfId="0" applyFont="1" applyBorder="1" applyAlignment="1">
      <alignment horizontal="center" vertical="center"/>
    </xf>
    <xf numFmtId="1" fontId="60" fillId="0" borderId="67" xfId="0" applyNumberFormat="1" applyFont="1" applyBorder="1" applyAlignment="1">
      <alignment horizontal="center" wrapText="1"/>
    </xf>
    <xf numFmtId="1" fontId="63" fillId="9" borderId="44" xfId="0" applyNumberFormat="1" applyFont="1" applyFill="1" applyBorder="1" applyAlignment="1" applyProtection="1">
      <alignment horizontal="center"/>
      <protection locked="0"/>
    </xf>
    <xf numFmtId="1" fontId="63" fillId="9" borderId="31" xfId="2" applyNumberFormat="1" applyFont="1" applyFill="1" applyBorder="1" applyAlignment="1" applyProtection="1">
      <alignment horizontal="center"/>
    </xf>
    <xf numFmtId="1" fontId="60" fillId="0" borderId="10" xfId="0" applyNumberFormat="1" applyFont="1" applyBorder="1" applyAlignment="1">
      <alignment horizontal="center" wrapText="1"/>
    </xf>
    <xf numFmtId="1" fontId="63" fillId="29" borderId="7" xfId="1" applyNumberFormat="1" applyFont="1" applyFill="1" applyBorder="1" applyAlignment="1" applyProtection="1">
      <alignment horizontal="center"/>
    </xf>
    <xf numFmtId="1" fontId="63" fillId="29" borderId="22" xfId="1" applyNumberFormat="1" applyFont="1" applyFill="1" applyBorder="1" applyAlignment="1" applyProtection="1">
      <alignment horizontal="center"/>
    </xf>
    <xf numFmtId="1" fontId="63" fillId="29" borderId="22" xfId="0" applyNumberFormat="1" applyFont="1" applyFill="1" applyBorder="1" applyAlignment="1">
      <alignment horizontal="center"/>
    </xf>
    <xf numFmtId="1" fontId="63" fillId="29" borderId="5" xfId="0" applyNumberFormat="1" applyFont="1" applyFill="1" applyBorder="1" applyAlignment="1">
      <alignment horizontal="center"/>
    </xf>
    <xf numFmtId="1" fontId="63" fillId="30" borderId="21" xfId="1" applyNumberFormat="1" applyFont="1" applyFill="1" applyBorder="1" applyAlignment="1" applyProtection="1">
      <alignment horizontal="center"/>
    </xf>
    <xf numFmtId="1" fontId="63" fillId="30" borderId="9" xfId="1" applyNumberFormat="1" applyFont="1" applyFill="1" applyBorder="1" applyAlignment="1" applyProtection="1">
      <alignment horizontal="center"/>
    </xf>
    <xf numFmtId="0" fontId="22" fillId="25" borderId="67" xfId="0" applyFont="1" applyFill="1" applyBorder="1" applyAlignment="1">
      <alignment horizontal="center"/>
    </xf>
    <xf numFmtId="7" fontId="60" fillId="0" borderId="67" xfId="0" applyNumberFormat="1" applyFont="1" applyBorder="1" applyAlignment="1">
      <alignment horizontal="center"/>
    </xf>
    <xf numFmtId="1" fontId="63" fillId="27" borderId="5" xfId="1" applyNumberFormat="1" applyFont="1" applyFill="1" applyBorder="1" applyAlignment="1" applyProtection="1">
      <alignment horizontal="center"/>
    </xf>
    <xf numFmtId="8" fontId="63" fillId="0" borderId="69" xfId="1" applyNumberFormat="1" applyFont="1" applyFill="1" applyBorder="1" applyAlignment="1" applyProtection="1">
      <alignment horizontal="center"/>
    </xf>
    <xf numFmtId="1" fontId="60" fillId="0" borderId="12" xfId="0" applyNumberFormat="1" applyFont="1" applyBorder="1" applyAlignment="1">
      <alignment horizontal="center"/>
    </xf>
    <xf numFmtId="0" fontId="63" fillId="23" borderId="61" xfId="0" applyFont="1" applyFill="1" applyBorder="1" applyAlignment="1" applyProtection="1">
      <alignment horizontal="center" vertical="center"/>
      <protection locked="0"/>
    </xf>
    <xf numFmtId="0" fontId="21" fillId="0" borderId="18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9" borderId="6" xfId="0" applyFont="1" applyFill="1" applyBorder="1" applyAlignment="1">
      <alignment horizontal="center"/>
    </xf>
    <xf numFmtId="0" fontId="21" fillId="9" borderId="18" xfId="0" applyFont="1" applyFill="1" applyBorder="1" applyAlignment="1">
      <alignment horizontal="center"/>
    </xf>
    <xf numFmtId="0" fontId="21" fillId="9" borderId="14" xfId="0" applyFont="1" applyFill="1" applyBorder="1" applyAlignment="1">
      <alignment horizontal="center"/>
    </xf>
    <xf numFmtId="0" fontId="21" fillId="9" borderId="34" xfId="0" applyFont="1" applyFill="1" applyBorder="1" applyAlignment="1">
      <alignment horizontal="center"/>
    </xf>
    <xf numFmtId="0" fontId="21" fillId="0" borderId="34" xfId="0" applyFont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49" fontId="61" fillId="0" borderId="61" xfId="0" applyNumberFormat="1" applyFont="1" applyBorder="1" applyAlignment="1">
      <alignment horizontal="center"/>
    </xf>
    <xf numFmtId="49" fontId="63" fillId="0" borderId="56" xfId="0" applyNumberFormat="1" applyFont="1" applyBorder="1" applyAlignment="1">
      <alignment horizontal="center"/>
    </xf>
    <xf numFmtId="49" fontId="63" fillId="0" borderId="57" xfId="0" applyNumberFormat="1" applyFont="1" applyBorder="1" applyAlignment="1">
      <alignment horizontal="center"/>
    </xf>
    <xf numFmtId="49" fontId="63" fillId="0" borderId="69" xfId="0" applyNumberFormat="1" applyFont="1" applyBorder="1" applyAlignment="1">
      <alignment horizontal="center"/>
    </xf>
    <xf numFmtId="49" fontId="63" fillId="9" borderId="69" xfId="0" applyNumberFormat="1" applyFont="1" applyFill="1" applyBorder="1" applyAlignment="1">
      <alignment horizontal="center"/>
    </xf>
    <xf numFmtId="49" fontId="63" fillId="9" borderId="56" xfId="0" applyNumberFormat="1" applyFont="1" applyFill="1" applyBorder="1" applyAlignment="1">
      <alignment horizontal="center"/>
    </xf>
    <xf numFmtId="49" fontId="63" fillId="23" borderId="62" xfId="0" applyNumberFormat="1" applyFont="1" applyFill="1" applyBorder="1" applyAlignment="1">
      <alignment horizontal="center"/>
    </xf>
    <xf numFmtId="49" fontId="63" fillId="9" borderId="57" xfId="0" applyNumberFormat="1" applyFont="1" applyFill="1" applyBorder="1" applyAlignment="1">
      <alignment horizontal="center"/>
    </xf>
    <xf numFmtId="49" fontId="63" fillId="9" borderId="58" xfId="0" applyNumberFormat="1" applyFont="1" applyFill="1" applyBorder="1" applyAlignment="1">
      <alignment horizontal="center"/>
    </xf>
    <xf numFmtId="49" fontId="63" fillId="0" borderId="58" xfId="0" applyNumberFormat="1" applyFont="1" applyBorder="1" applyAlignment="1">
      <alignment horizontal="center"/>
    </xf>
    <xf numFmtId="49" fontId="63" fillId="9" borderId="65" xfId="0" applyNumberFormat="1" applyFont="1" applyFill="1" applyBorder="1" applyAlignment="1">
      <alignment horizontal="center"/>
    </xf>
    <xf numFmtId="49" fontId="63" fillId="0" borderId="65" xfId="0" applyNumberFormat="1" applyFont="1" applyBorder="1" applyAlignment="1">
      <alignment horizontal="center"/>
    </xf>
    <xf numFmtId="49" fontId="63" fillId="23" borderId="61" xfId="0" applyNumberFormat="1" applyFont="1" applyFill="1" applyBorder="1" applyAlignment="1">
      <alignment horizontal="center"/>
    </xf>
    <xf numFmtId="49" fontId="63" fillId="23" borderId="63" xfId="0" applyNumberFormat="1" applyFont="1" applyFill="1" applyBorder="1" applyAlignment="1">
      <alignment horizontal="center"/>
    </xf>
    <xf numFmtId="1" fontId="63" fillId="27" borderId="27" xfId="1" applyNumberFormat="1" applyFont="1" applyFill="1" applyBorder="1" applyAlignment="1" applyProtection="1">
      <alignment horizontal="center"/>
    </xf>
    <xf numFmtId="1" fontId="63" fillId="30" borderId="4" xfId="1" applyNumberFormat="1" applyFont="1" applyFill="1" applyBorder="1" applyAlignment="1" applyProtection="1">
      <alignment horizontal="center"/>
    </xf>
    <xf numFmtId="1" fontId="63" fillId="30" borderId="15" xfId="1" applyNumberFormat="1" applyFont="1" applyFill="1" applyBorder="1" applyAlignment="1" applyProtection="1">
      <alignment horizontal="center"/>
    </xf>
    <xf numFmtId="1" fontId="63" fillId="30" borderId="27" xfId="1" applyNumberFormat="1" applyFont="1" applyFill="1" applyBorder="1" applyAlignment="1" applyProtection="1">
      <alignment horizontal="center"/>
    </xf>
    <xf numFmtId="0" fontId="63" fillId="0" borderId="28" xfId="0" applyFont="1" applyBorder="1" applyAlignment="1">
      <alignment horizontal="center"/>
    </xf>
    <xf numFmtId="0" fontId="63" fillId="0" borderId="37" xfId="0" applyFont="1" applyBorder="1" applyAlignment="1">
      <alignment horizontal="center"/>
    </xf>
    <xf numFmtId="0" fontId="63" fillId="0" borderId="39" xfId="0" applyFont="1" applyBorder="1" applyAlignment="1">
      <alignment horizontal="center"/>
    </xf>
    <xf numFmtId="0" fontId="63" fillId="0" borderId="32" xfId="0" applyFont="1" applyBorder="1" applyAlignment="1">
      <alignment horizontal="center"/>
    </xf>
    <xf numFmtId="0" fontId="63" fillId="0" borderId="29" xfId="0" applyFont="1" applyBorder="1" applyAlignment="1">
      <alignment horizontal="center"/>
    </xf>
    <xf numFmtId="0" fontId="63" fillId="0" borderId="68" xfId="0" applyFont="1" applyBorder="1" applyAlignment="1">
      <alignment horizontal="center"/>
    </xf>
    <xf numFmtId="0" fontId="63" fillId="9" borderId="29" xfId="0" applyFont="1" applyFill="1" applyBorder="1" applyAlignment="1">
      <alignment horizontal="center"/>
    </xf>
    <xf numFmtId="0" fontId="63" fillId="9" borderId="68" xfId="0" applyFont="1" applyFill="1" applyBorder="1" applyAlignment="1">
      <alignment horizontal="center"/>
    </xf>
    <xf numFmtId="0" fontId="63" fillId="9" borderId="108" xfId="0" applyFont="1" applyFill="1" applyBorder="1" applyAlignment="1">
      <alignment horizontal="center"/>
    </xf>
    <xf numFmtId="0" fontId="63" fillId="0" borderId="108" xfId="0" applyFont="1" applyBorder="1" applyAlignment="1">
      <alignment horizontal="center"/>
    </xf>
    <xf numFmtId="0" fontId="63" fillId="9" borderId="28" xfId="0" applyFont="1" applyFill="1" applyBorder="1" applyAlignment="1">
      <alignment horizontal="center"/>
    </xf>
    <xf numFmtId="0" fontId="63" fillId="9" borderId="37" xfId="0" applyFont="1" applyFill="1" applyBorder="1" applyAlignment="1">
      <alignment horizontal="center"/>
    </xf>
    <xf numFmtId="0" fontId="63" fillId="23" borderId="12" xfId="0" applyFont="1" applyFill="1" applyBorder="1" applyAlignment="1">
      <alignment horizontal="center"/>
    </xf>
    <xf numFmtId="0" fontId="63" fillId="23" borderId="52" xfId="0" applyFont="1" applyFill="1" applyBorder="1" applyAlignment="1">
      <alignment horizontal="center"/>
    </xf>
    <xf numFmtId="0" fontId="63" fillId="9" borderId="32" xfId="0" applyFont="1" applyFill="1" applyBorder="1" applyAlignment="1">
      <alignment horizontal="center"/>
    </xf>
    <xf numFmtId="0" fontId="63" fillId="0" borderId="60" xfId="0" applyFont="1" applyBorder="1" applyAlignment="1">
      <alignment horizontal="center"/>
    </xf>
    <xf numFmtId="49" fontId="63" fillId="9" borderId="29" xfId="0" applyNumberFormat="1" applyFont="1" applyFill="1" applyBorder="1" applyAlignment="1">
      <alignment horizontal="center"/>
    </xf>
    <xf numFmtId="49" fontId="63" fillId="9" borderId="33" xfId="0" applyNumberFormat="1" applyFont="1" applyFill="1" applyBorder="1" applyAlignment="1">
      <alignment horizontal="center"/>
    </xf>
    <xf numFmtId="0" fontId="63" fillId="9" borderId="35" xfId="0" applyFont="1" applyFill="1" applyBorder="1" applyAlignment="1">
      <alignment horizontal="center"/>
    </xf>
    <xf numFmtId="0" fontId="63" fillId="0" borderId="33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49" fontId="63" fillId="9" borderId="39" xfId="0" applyNumberFormat="1" applyFont="1" applyFill="1" applyBorder="1" applyAlignment="1">
      <alignment horizontal="center"/>
    </xf>
    <xf numFmtId="0" fontId="63" fillId="9" borderId="60" xfId="0" applyFont="1" applyFill="1" applyBorder="1" applyAlignment="1">
      <alignment horizontal="center"/>
    </xf>
    <xf numFmtId="49" fontId="63" fillId="0" borderId="29" xfId="0" applyNumberFormat="1" applyFont="1" applyBorder="1" applyAlignment="1">
      <alignment horizontal="center"/>
    </xf>
    <xf numFmtId="49" fontId="63" fillId="0" borderId="28" xfId="0" applyNumberFormat="1" applyFont="1" applyBorder="1" applyAlignment="1">
      <alignment horizontal="center"/>
    </xf>
    <xf numFmtId="49" fontId="63" fillId="0" borderId="39" xfId="0" applyNumberFormat="1" applyFont="1" applyBorder="1" applyAlignment="1">
      <alignment horizontal="center"/>
    </xf>
    <xf numFmtId="0" fontId="63" fillId="23" borderId="10" xfId="0" applyFont="1" applyFill="1" applyBorder="1" applyAlignment="1">
      <alignment horizontal="center"/>
    </xf>
    <xf numFmtId="0" fontId="63" fillId="23" borderId="17" xfId="0" applyFont="1" applyFill="1" applyBorder="1" applyAlignment="1">
      <alignment horizontal="center"/>
    </xf>
    <xf numFmtId="0" fontId="63" fillId="23" borderId="67" xfId="0" applyFont="1" applyFill="1" applyBorder="1" applyAlignment="1">
      <alignment horizontal="center"/>
    </xf>
    <xf numFmtId="0" fontId="63" fillId="23" borderId="24" xfId="0" applyFont="1" applyFill="1" applyBorder="1" applyAlignment="1">
      <alignment horizontal="center"/>
    </xf>
    <xf numFmtId="49" fontId="63" fillId="9" borderId="28" xfId="0" applyNumberFormat="1" applyFont="1" applyFill="1" applyBorder="1" applyAlignment="1">
      <alignment horizontal="center"/>
    </xf>
    <xf numFmtId="49" fontId="63" fillId="0" borderId="108" xfId="0" applyNumberFormat="1" applyFont="1" applyBorder="1" applyAlignment="1">
      <alignment horizontal="center"/>
    </xf>
    <xf numFmtId="0" fontId="63" fillId="9" borderId="39" xfId="0" applyFont="1" applyFill="1" applyBorder="1" applyAlignment="1">
      <alignment horizontal="center"/>
    </xf>
    <xf numFmtId="1" fontId="63" fillId="9" borderId="26" xfId="2" applyNumberFormat="1" applyFont="1" applyFill="1" applyBorder="1" applyAlignment="1" applyProtection="1">
      <alignment horizontal="center"/>
    </xf>
    <xf numFmtId="1" fontId="63" fillId="0" borderId="31" xfId="2" applyNumberFormat="1" applyFont="1" applyFill="1" applyBorder="1" applyAlignment="1" applyProtection="1">
      <alignment horizontal="center"/>
    </xf>
    <xf numFmtId="1" fontId="63" fillId="0" borderId="16" xfId="2" applyNumberFormat="1" applyFont="1" applyFill="1" applyBorder="1" applyAlignment="1" applyProtection="1">
      <alignment horizontal="center"/>
    </xf>
    <xf numFmtId="1" fontId="63" fillId="0" borderId="26" xfId="2" applyNumberFormat="1" applyFont="1" applyFill="1" applyBorder="1" applyAlignment="1" applyProtection="1">
      <alignment horizontal="center"/>
    </xf>
    <xf numFmtId="1" fontId="63" fillId="9" borderId="9" xfId="2" applyNumberFormat="1" applyFont="1" applyFill="1" applyBorder="1" applyAlignment="1" applyProtection="1">
      <alignment horizontal="center"/>
    </xf>
    <xf numFmtId="8" fontId="63" fillId="0" borderId="56" xfId="1" applyNumberFormat="1" applyFont="1" applyFill="1" applyBorder="1" applyAlignment="1" applyProtection="1">
      <alignment horizontal="center" vertical="center"/>
    </xf>
    <xf numFmtId="8" fontId="63" fillId="9" borderId="57" xfId="1" applyNumberFormat="1" applyFont="1" applyFill="1" applyBorder="1" applyAlignment="1" applyProtection="1">
      <alignment horizontal="center" vertical="center"/>
    </xf>
    <xf numFmtId="8" fontId="63" fillId="0" borderId="57" xfId="1" applyNumberFormat="1" applyFont="1" applyFill="1" applyBorder="1" applyAlignment="1" applyProtection="1">
      <alignment horizontal="center" vertical="center"/>
    </xf>
    <xf numFmtId="49" fontId="63" fillId="0" borderId="95" xfId="0" applyNumberFormat="1" applyFont="1" applyBorder="1" applyAlignment="1" applyProtection="1">
      <alignment horizontal="center" vertical="center"/>
      <protection locked="0"/>
    </xf>
    <xf numFmtId="49" fontId="63" fillId="0" borderId="40" xfId="0" applyNumberFormat="1" applyFont="1" applyBorder="1" applyAlignment="1" applyProtection="1">
      <alignment horizontal="center" vertical="center"/>
      <protection locked="0"/>
    </xf>
    <xf numFmtId="49" fontId="63" fillId="0" borderId="109" xfId="0" applyNumberFormat="1" applyFont="1" applyBorder="1" applyAlignment="1" applyProtection="1">
      <alignment horizontal="center" vertical="center"/>
      <protection locked="0"/>
    </xf>
    <xf numFmtId="49" fontId="63" fillId="9" borderId="109" xfId="0" applyNumberFormat="1" applyFont="1" applyFill="1" applyBorder="1" applyAlignment="1" applyProtection="1">
      <alignment horizontal="center" vertical="center"/>
      <protection locked="0"/>
    </xf>
    <xf numFmtId="49" fontId="63" fillId="9" borderId="95" xfId="0" applyNumberFormat="1" applyFont="1" applyFill="1" applyBorder="1" applyAlignment="1" applyProtection="1">
      <alignment horizontal="center" vertical="center"/>
      <protection locked="0"/>
    </xf>
    <xf numFmtId="49" fontId="63" fillId="9" borderId="95" xfId="2" applyNumberFormat="1" applyFont="1" applyFill="1" applyBorder="1" applyAlignment="1" applyProtection="1">
      <alignment horizontal="center"/>
      <protection locked="0"/>
    </xf>
    <xf numFmtId="49" fontId="63" fillId="9" borderId="40" xfId="0" applyNumberFormat="1" applyFont="1" applyFill="1" applyBorder="1" applyAlignment="1" applyProtection="1">
      <alignment horizontal="center" vertical="center"/>
      <protection locked="0"/>
    </xf>
    <xf numFmtId="49" fontId="63" fillId="0" borderId="40" xfId="2" applyNumberFormat="1" applyFont="1" applyFill="1" applyBorder="1" applyAlignment="1" applyProtection="1">
      <alignment horizontal="center"/>
      <protection locked="0"/>
    </xf>
    <xf numFmtId="49" fontId="63" fillId="9" borderId="50" xfId="0" applyNumberFormat="1" applyFont="1" applyFill="1" applyBorder="1" applyAlignment="1" applyProtection="1">
      <alignment horizontal="center" vertical="center"/>
      <protection locked="0"/>
    </xf>
    <xf numFmtId="49" fontId="63" fillId="0" borderId="95" xfId="2" applyNumberFormat="1" applyFont="1" applyFill="1" applyBorder="1" applyAlignment="1" applyProtection="1">
      <alignment horizontal="center"/>
      <protection locked="0"/>
    </xf>
    <xf numFmtId="49" fontId="63" fillId="9" borderId="40" xfId="2" applyNumberFormat="1" applyFont="1" applyFill="1" applyBorder="1" applyAlignment="1" applyProtection="1">
      <alignment horizontal="center"/>
      <protection locked="0"/>
    </xf>
    <xf numFmtId="49" fontId="63" fillId="0" borderId="50" xfId="0" applyNumberFormat="1" applyFont="1" applyBorder="1" applyAlignment="1" applyProtection="1">
      <alignment horizontal="center" vertical="center"/>
      <protection locked="0"/>
    </xf>
    <xf numFmtId="49" fontId="63" fillId="9" borderId="96" xfId="0" applyNumberFormat="1" applyFont="1" applyFill="1" applyBorder="1" applyAlignment="1" applyProtection="1">
      <alignment horizontal="center" vertical="center"/>
      <protection locked="0"/>
    </xf>
    <xf numFmtId="49" fontId="63" fillId="0" borderId="96" xfId="0" applyNumberFormat="1" applyFont="1" applyBorder="1" applyAlignment="1" applyProtection="1">
      <alignment horizontal="center" vertical="center"/>
      <protection locked="0"/>
    </xf>
    <xf numFmtId="49" fontId="63" fillId="9" borderId="96" xfId="2" applyNumberFormat="1" applyFont="1" applyFill="1" applyBorder="1" applyAlignment="1" applyProtection="1">
      <alignment horizontal="center"/>
      <protection locked="0"/>
    </xf>
    <xf numFmtId="49" fontId="63" fillId="0" borderId="109" xfId="2" applyNumberFormat="1" applyFont="1" applyFill="1" applyBorder="1" applyAlignment="1" applyProtection="1">
      <alignment horizontal="center"/>
      <protection locked="0"/>
    </xf>
    <xf numFmtId="49" fontId="63" fillId="0" borderId="50" xfId="2" applyNumberFormat="1" applyFont="1" applyFill="1" applyBorder="1" applyAlignment="1" applyProtection="1">
      <alignment horizontal="center"/>
      <protection locked="0"/>
    </xf>
    <xf numFmtId="7" fontId="63" fillId="0" borderId="56" xfId="2" applyNumberFormat="1" applyFont="1" applyFill="1" applyBorder="1" applyAlignment="1" applyProtection="1">
      <alignment horizontal="center"/>
    </xf>
    <xf numFmtId="7" fontId="63" fillId="0" borderId="57" xfId="2" applyNumberFormat="1" applyFont="1" applyFill="1" applyBorder="1" applyAlignment="1" applyProtection="1">
      <alignment horizontal="center"/>
    </xf>
    <xf numFmtId="7" fontId="63" fillId="0" borderId="69" xfId="2" applyNumberFormat="1" applyFont="1" applyFill="1" applyBorder="1" applyAlignment="1" applyProtection="1">
      <alignment horizontal="center"/>
    </xf>
    <xf numFmtId="7" fontId="63" fillId="9" borderId="69" xfId="2" applyNumberFormat="1" applyFont="1" applyFill="1" applyBorder="1" applyAlignment="1" applyProtection="1">
      <alignment horizontal="center"/>
    </xf>
    <xf numFmtId="7" fontId="63" fillId="9" borderId="56" xfId="2" applyNumberFormat="1" applyFont="1" applyFill="1" applyBorder="1" applyAlignment="1" applyProtection="1">
      <alignment horizontal="center"/>
    </xf>
    <xf numFmtId="7" fontId="63" fillId="23" borderId="62" xfId="2" applyNumberFormat="1" applyFont="1" applyFill="1" applyBorder="1" applyAlignment="1" applyProtection="1">
      <alignment horizontal="center"/>
    </xf>
    <xf numFmtId="7" fontId="63" fillId="9" borderId="57" xfId="2" applyNumberFormat="1" applyFont="1" applyFill="1" applyBorder="1" applyAlignment="1" applyProtection="1">
      <alignment horizontal="center"/>
    </xf>
    <xf numFmtId="7" fontId="63" fillId="9" borderId="58" xfId="2" applyNumberFormat="1" applyFont="1" applyFill="1" applyBorder="1" applyAlignment="1" applyProtection="1">
      <alignment horizontal="center"/>
    </xf>
    <xf numFmtId="7" fontId="63" fillId="0" borderId="58" xfId="2" applyNumberFormat="1" applyFont="1" applyFill="1" applyBorder="1" applyAlignment="1" applyProtection="1">
      <alignment horizontal="center"/>
    </xf>
    <xf numFmtId="7" fontId="63" fillId="9" borderId="65" xfId="2" applyNumberFormat="1" applyFont="1" applyFill="1" applyBorder="1" applyAlignment="1" applyProtection="1">
      <alignment horizontal="center"/>
    </xf>
    <xf numFmtId="7" fontId="63" fillId="0" borderId="65" xfId="2" applyNumberFormat="1" applyFont="1" applyFill="1" applyBorder="1" applyAlignment="1" applyProtection="1">
      <alignment horizontal="center"/>
    </xf>
    <xf numFmtId="7" fontId="63" fillId="23" borderId="61" xfId="2" applyNumberFormat="1" applyFont="1" applyFill="1" applyBorder="1" applyAlignment="1" applyProtection="1">
      <alignment horizontal="center"/>
    </xf>
    <xf numFmtId="7" fontId="63" fillId="23" borderId="63" xfId="2" applyNumberFormat="1" applyFont="1" applyFill="1" applyBorder="1" applyAlignment="1" applyProtection="1">
      <alignment horizontal="center"/>
    </xf>
    <xf numFmtId="0" fontId="15" fillId="0" borderId="0" xfId="0" applyFont="1" applyAlignment="1">
      <alignment horizontal="left"/>
    </xf>
    <xf numFmtId="0" fontId="39" fillId="37" borderId="0" xfId="0" applyFont="1" applyFill="1"/>
    <xf numFmtId="1" fontId="40" fillId="9" borderId="36" xfId="2" applyNumberFormat="1" applyFont="1" applyFill="1" applyBorder="1" applyAlignment="1" applyProtection="1">
      <alignment horizontal="center" vertical="center"/>
      <protection locked="0"/>
    </xf>
    <xf numFmtId="1" fontId="40" fillId="9" borderId="36" xfId="0" applyNumberFormat="1" applyFont="1" applyFill="1" applyBorder="1" applyAlignment="1" applyProtection="1">
      <alignment horizontal="center" vertical="center"/>
      <protection locked="0"/>
    </xf>
    <xf numFmtId="169" fontId="21" fillId="9" borderId="36" xfId="0" quotePrefix="1" applyNumberFormat="1" applyFont="1" applyFill="1" applyBorder="1" applyAlignment="1">
      <alignment horizontal="center"/>
    </xf>
    <xf numFmtId="0" fontId="21" fillId="9" borderId="36" xfId="0" applyFont="1" applyFill="1" applyBorder="1" applyAlignment="1">
      <alignment horizontal="center"/>
    </xf>
    <xf numFmtId="169" fontId="21" fillId="9" borderId="36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/>
    </xf>
    <xf numFmtId="169" fontId="21" fillId="0" borderId="2" xfId="0" applyNumberFormat="1" applyFont="1" applyBorder="1" applyAlignment="1">
      <alignment horizontal="center" vertical="center"/>
    </xf>
    <xf numFmtId="49" fontId="78" fillId="9" borderId="28" xfId="0" applyNumberFormat="1" applyFont="1" applyFill="1" applyBorder="1" applyAlignment="1" applyProtection="1">
      <alignment horizontal="center"/>
      <protection locked="0"/>
    </xf>
    <xf numFmtId="0" fontId="78" fillId="9" borderId="36" xfId="0" applyFont="1" applyFill="1" applyBorder="1" applyAlignment="1">
      <alignment horizontal="center" vertical="center"/>
    </xf>
    <xf numFmtId="49" fontId="78" fillId="9" borderId="37" xfId="0" applyNumberFormat="1" applyFont="1" applyFill="1" applyBorder="1" applyAlignment="1">
      <alignment horizontal="center"/>
    </xf>
    <xf numFmtId="49" fontId="21" fillId="38" borderId="39" xfId="0" applyNumberFormat="1" applyFont="1" applyFill="1" applyBorder="1" applyAlignment="1" applyProtection="1">
      <alignment horizontal="center"/>
      <protection locked="0"/>
    </xf>
    <xf numFmtId="0" fontId="21" fillId="38" borderId="2" xfId="0" applyFont="1" applyFill="1" applyBorder="1" applyAlignment="1">
      <alignment horizontal="center" vertical="center"/>
    </xf>
    <xf numFmtId="49" fontId="21" fillId="38" borderId="32" xfId="0" applyNumberFormat="1" applyFont="1" applyFill="1" applyBorder="1" applyAlignment="1">
      <alignment horizontal="center"/>
    </xf>
    <xf numFmtId="49" fontId="21" fillId="38" borderId="29" xfId="0" applyNumberFormat="1" applyFont="1" applyFill="1" applyBorder="1" applyAlignment="1" applyProtection="1">
      <alignment horizontal="center"/>
      <protection locked="0"/>
    </xf>
    <xf numFmtId="49" fontId="21" fillId="38" borderId="33" xfId="0" applyNumberFormat="1" applyFont="1" applyFill="1" applyBorder="1" applyAlignment="1" applyProtection="1">
      <alignment horizontal="center"/>
      <protection locked="0"/>
    </xf>
    <xf numFmtId="0" fontId="21" fillId="38" borderId="25" xfId="0" applyFont="1" applyFill="1" applyBorder="1" applyAlignment="1">
      <alignment horizontal="center" vertical="center"/>
    </xf>
    <xf numFmtId="49" fontId="21" fillId="38" borderId="35" xfId="0" applyNumberFormat="1" applyFont="1" applyFill="1" applyBorder="1" applyAlignment="1">
      <alignment horizontal="center"/>
    </xf>
    <xf numFmtId="49" fontId="71" fillId="20" borderId="28" xfId="0" applyNumberFormat="1" applyFont="1" applyFill="1" applyBorder="1" applyAlignment="1" applyProtection="1">
      <alignment horizontal="center"/>
      <protection locked="0"/>
    </xf>
    <xf numFmtId="0" fontId="71" fillId="20" borderId="36" xfId="0" applyFont="1" applyFill="1" applyBorder="1" applyAlignment="1">
      <alignment horizontal="center"/>
    </xf>
    <xf numFmtId="169" fontId="71" fillId="20" borderId="36" xfId="2" quotePrefix="1" applyNumberFormat="1" applyFont="1" applyFill="1" applyBorder="1" applyAlignment="1" applyProtection="1">
      <alignment horizontal="center" vertical="center"/>
    </xf>
    <xf numFmtId="1" fontId="71" fillId="20" borderId="56" xfId="0" applyNumberFormat="1" applyFont="1" applyFill="1" applyBorder="1" applyAlignment="1" applyProtection="1">
      <alignment horizontal="center" vertical="center"/>
      <protection locked="0"/>
    </xf>
    <xf numFmtId="169" fontId="71" fillId="20" borderId="56" xfId="0" applyNumberFormat="1" applyFont="1" applyFill="1" applyBorder="1" applyAlignment="1">
      <alignment horizontal="center" vertical="center"/>
    </xf>
    <xf numFmtId="0" fontId="71" fillId="20" borderId="95" xfId="0" applyFont="1" applyFill="1" applyBorder="1" applyAlignment="1" applyProtection="1">
      <alignment horizontal="center" vertical="center"/>
      <protection locked="0"/>
    </xf>
    <xf numFmtId="49" fontId="71" fillId="0" borderId="28" xfId="0" applyNumberFormat="1" applyFont="1" applyBorder="1" applyAlignment="1">
      <alignment horizontal="center"/>
    </xf>
    <xf numFmtId="0" fontId="71" fillId="0" borderId="36" xfId="0" applyFont="1" applyBorder="1" applyAlignment="1">
      <alignment horizontal="center"/>
    </xf>
    <xf numFmtId="169" fontId="71" fillId="0" borderId="36" xfId="2" quotePrefix="1" applyNumberFormat="1" applyFont="1" applyFill="1" applyBorder="1" applyAlignment="1" applyProtection="1">
      <alignment horizontal="center" vertical="center"/>
    </xf>
    <xf numFmtId="1" fontId="71" fillId="0" borderId="56" xfId="0" applyNumberFormat="1" applyFont="1" applyBorder="1" applyAlignment="1" applyProtection="1">
      <alignment horizontal="center" vertical="center"/>
      <protection locked="0"/>
    </xf>
    <xf numFmtId="169" fontId="71" fillId="0" borderId="56" xfId="0" applyNumberFormat="1" applyFont="1" applyBorder="1" applyAlignment="1">
      <alignment horizontal="center" vertical="center"/>
    </xf>
    <xf numFmtId="0" fontId="71" fillId="0" borderId="95" xfId="0" applyFont="1" applyBorder="1" applyAlignment="1" applyProtection="1">
      <alignment horizontal="center" vertical="center"/>
      <protection locked="0"/>
    </xf>
    <xf numFmtId="49" fontId="71" fillId="9" borderId="4" xfId="0" applyNumberFormat="1" applyFont="1" applyFill="1" applyBorder="1" applyAlignment="1">
      <alignment horizontal="center"/>
    </xf>
    <xf numFmtId="0" fontId="71" fillId="9" borderId="21" xfId="0" applyFont="1" applyFill="1" applyBorder="1" applyAlignment="1">
      <alignment horizontal="center"/>
    </xf>
    <xf numFmtId="169" fontId="71" fillId="9" borderId="21" xfId="2" quotePrefix="1" applyNumberFormat="1" applyFont="1" applyFill="1" applyBorder="1" applyAlignment="1" applyProtection="1">
      <alignment horizontal="center" vertical="center"/>
    </xf>
    <xf numFmtId="1" fontId="71" fillId="9" borderId="65" xfId="0" applyNumberFormat="1" applyFont="1" applyFill="1" applyBorder="1" applyAlignment="1" applyProtection="1">
      <alignment horizontal="center" vertical="center"/>
      <protection locked="0"/>
    </xf>
    <xf numFmtId="169" fontId="71" fillId="9" borderId="65" xfId="0" applyNumberFormat="1" applyFont="1" applyFill="1" applyBorder="1" applyAlignment="1">
      <alignment horizontal="center" vertical="center"/>
    </xf>
    <xf numFmtId="0" fontId="71" fillId="9" borderId="96" xfId="0" applyFont="1" applyFill="1" applyBorder="1" applyAlignment="1" applyProtection="1">
      <alignment horizontal="center" vertical="center"/>
      <protection locked="0"/>
    </xf>
    <xf numFmtId="49" fontId="71" fillId="0" borderId="15" xfId="0" applyNumberFormat="1" applyFont="1" applyBorder="1" applyAlignment="1">
      <alignment horizontal="center"/>
    </xf>
    <xf numFmtId="169" fontId="71" fillId="0" borderId="2" xfId="2" quotePrefix="1" applyNumberFormat="1" applyFont="1" applyFill="1" applyBorder="1" applyAlignment="1" applyProtection="1">
      <alignment horizontal="center" vertical="center"/>
    </xf>
    <xf numFmtId="1" fontId="71" fillId="0" borderId="57" xfId="0" applyNumberFormat="1" applyFont="1" applyBorder="1" applyAlignment="1" applyProtection="1">
      <alignment horizontal="center" vertical="center"/>
      <protection locked="0"/>
    </xf>
    <xf numFmtId="169" fontId="71" fillId="0" borderId="57" xfId="0" applyNumberFormat="1" applyFont="1" applyBorder="1" applyAlignment="1">
      <alignment horizontal="center" vertical="center"/>
    </xf>
    <xf numFmtId="0" fontId="71" fillId="0" borderId="40" xfId="0" applyFont="1" applyBorder="1" applyAlignment="1" applyProtection="1">
      <alignment horizontal="center" vertical="center"/>
      <protection locked="0"/>
    </xf>
    <xf numFmtId="49" fontId="71" fillId="9" borderId="15" xfId="0" applyNumberFormat="1" applyFont="1" applyFill="1" applyBorder="1" applyAlignment="1">
      <alignment horizontal="center"/>
    </xf>
    <xf numFmtId="169" fontId="71" fillId="9" borderId="2" xfId="2" quotePrefix="1" applyNumberFormat="1" applyFont="1" applyFill="1" applyBorder="1" applyAlignment="1" applyProtection="1">
      <alignment horizontal="center" vertical="center"/>
    </xf>
    <xf numFmtId="1" fontId="71" fillId="9" borderId="57" xfId="0" applyNumberFormat="1" applyFont="1" applyFill="1" applyBorder="1" applyAlignment="1" applyProtection="1">
      <alignment horizontal="center" vertical="center"/>
      <protection locked="0"/>
    </xf>
    <xf numFmtId="169" fontId="71" fillId="9" borderId="57" xfId="0" applyNumberFormat="1" applyFont="1" applyFill="1" applyBorder="1" applyAlignment="1">
      <alignment horizontal="center" vertical="center"/>
    </xf>
    <xf numFmtId="0" fontId="71" fillId="9" borderId="40" xfId="0" applyFont="1" applyFill="1" applyBorder="1" applyAlignment="1" applyProtection="1">
      <alignment horizontal="center" vertical="center"/>
      <protection locked="0"/>
    </xf>
    <xf numFmtId="49" fontId="71" fillId="0" borderId="108" xfId="0" applyNumberFormat="1" applyFont="1" applyBorder="1" applyAlignment="1">
      <alignment horizontal="center"/>
    </xf>
    <xf numFmtId="0" fontId="71" fillId="0" borderId="22" xfId="0" applyFont="1" applyBorder="1" applyAlignment="1">
      <alignment horizontal="center"/>
    </xf>
    <xf numFmtId="169" fontId="71" fillId="0" borderId="22" xfId="2" quotePrefix="1" applyNumberFormat="1" applyFont="1" applyFill="1" applyBorder="1" applyAlignment="1" applyProtection="1">
      <alignment horizontal="center" vertical="center"/>
    </xf>
    <xf numFmtId="1" fontId="71" fillId="0" borderId="69" xfId="0" applyNumberFormat="1" applyFont="1" applyBorder="1" applyAlignment="1" applyProtection="1">
      <alignment horizontal="center" vertical="center"/>
      <protection locked="0"/>
    </xf>
    <xf numFmtId="169" fontId="71" fillId="0" borderId="69" xfId="0" applyNumberFormat="1" applyFont="1" applyBorder="1" applyAlignment="1">
      <alignment horizontal="center" vertical="center"/>
    </xf>
    <xf numFmtId="0" fontId="71" fillId="0" borderId="109" xfId="0" applyFont="1" applyBorder="1" applyAlignment="1" applyProtection="1">
      <alignment horizontal="center" vertical="center"/>
      <protection locked="0"/>
    </xf>
    <xf numFmtId="49" fontId="71" fillId="20" borderId="15" xfId="0" applyNumberFormat="1" applyFont="1" applyFill="1" applyBorder="1" applyAlignment="1">
      <alignment horizontal="center"/>
    </xf>
    <xf numFmtId="0" fontId="71" fillId="20" borderId="2" xfId="0" applyFont="1" applyFill="1" applyBorder="1" applyAlignment="1">
      <alignment horizontal="center"/>
    </xf>
    <xf numFmtId="169" fontId="71" fillId="20" borderId="2" xfId="2" quotePrefix="1" applyNumberFormat="1" applyFont="1" applyFill="1" applyBorder="1" applyAlignment="1" applyProtection="1">
      <alignment horizontal="center" vertical="center"/>
    </xf>
    <xf numFmtId="1" fontId="71" fillId="20" borderId="57" xfId="0" applyNumberFormat="1" applyFont="1" applyFill="1" applyBorder="1" applyAlignment="1" applyProtection="1">
      <alignment horizontal="center" vertical="center"/>
      <protection locked="0"/>
    </xf>
    <xf numFmtId="169" fontId="71" fillId="20" borderId="57" xfId="0" applyNumberFormat="1" applyFont="1" applyFill="1" applyBorder="1" applyAlignment="1">
      <alignment horizontal="center" vertical="center"/>
    </xf>
    <xf numFmtId="0" fontId="71" fillId="20" borderId="15" xfId="0" applyFont="1" applyFill="1" applyBorder="1" applyAlignment="1" applyProtection="1">
      <alignment horizontal="center" vertical="center"/>
      <protection locked="0"/>
    </xf>
    <xf numFmtId="0" fontId="6" fillId="20" borderId="67" xfId="0" applyFont="1" applyFill="1" applyBorder="1" applyAlignment="1">
      <alignment horizontal="center"/>
    </xf>
    <xf numFmtId="0" fontId="71" fillId="0" borderId="15" xfId="0" applyFont="1" applyBorder="1" applyAlignment="1" applyProtection="1">
      <alignment horizontal="center" vertical="center"/>
      <protection locked="0"/>
    </xf>
    <xf numFmtId="0" fontId="10" fillId="36" borderId="19" xfId="0" applyFont="1" applyFill="1" applyBorder="1" applyAlignment="1">
      <alignment horizontal="center"/>
    </xf>
    <xf numFmtId="49" fontId="71" fillId="20" borderId="2" xfId="0" applyNumberFormat="1" applyFont="1" applyFill="1" applyBorder="1" applyAlignment="1">
      <alignment horizontal="center"/>
    </xf>
    <xf numFmtId="0" fontId="71" fillId="9" borderId="15" xfId="0" applyFont="1" applyFill="1" applyBorder="1" applyAlignment="1" applyProtection="1">
      <alignment horizontal="center" vertical="center"/>
      <protection locked="0"/>
    </xf>
    <xf numFmtId="0" fontId="6" fillId="20" borderId="12" xfId="0" applyFont="1" applyFill="1" applyBorder="1" applyAlignment="1">
      <alignment horizontal="center"/>
    </xf>
    <xf numFmtId="49" fontId="71" fillId="0" borderId="25" xfId="0" applyNumberFormat="1" applyFont="1" applyBorder="1" applyAlignment="1">
      <alignment horizontal="center"/>
    </xf>
    <xf numFmtId="0" fontId="71" fillId="0" borderId="25" xfId="0" applyFont="1" applyBorder="1" applyAlignment="1">
      <alignment horizontal="center"/>
    </xf>
    <xf numFmtId="169" fontId="71" fillId="0" borderId="25" xfId="2" quotePrefix="1" applyNumberFormat="1" applyFont="1" applyFill="1" applyBorder="1" applyAlignment="1" applyProtection="1">
      <alignment horizontal="center" vertical="center"/>
    </xf>
    <xf numFmtId="1" fontId="71" fillId="0" borderId="58" xfId="0" applyNumberFormat="1" applyFont="1" applyBorder="1" applyAlignment="1" applyProtection="1">
      <alignment horizontal="center" vertical="center"/>
      <protection locked="0"/>
    </xf>
    <xf numFmtId="169" fontId="71" fillId="0" borderId="58" xfId="0" applyNumberFormat="1" applyFont="1" applyBorder="1" applyAlignment="1">
      <alignment horizontal="center" vertical="center"/>
    </xf>
    <xf numFmtId="0" fontId="71" fillId="0" borderId="27" xfId="0" applyFont="1" applyBorder="1" applyAlignment="1" applyProtection="1">
      <alignment horizontal="center" vertical="center"/>
      <protection locked="0"/>
    </xf>
    <xf numFmtId="169" fontId="6" fillId="35" borderId="19" xfId="0" applyNumberFormat="1" applyFont="1" applyFill="1" applyBorder="1" applyAlignment="1">
      <alignment horizontal="center" vertical="center"/>
    </xf>
    <xf numFmtId="0" fontId="79" fillId="0" borderId="0" xfId="0" applyFont="1"/>
    <xf numFmtId="0" fontId="79" fillId="9" borderId="36" xfId="0" applyFont="1" applyFill="1" applyBorder="1" applyAlignment="1">
      <alignment vertical="center"/>
    </xf>
    <xf numFmtId="0" fontId="63" fillId="9" borderId="57" xfId="0" applyFont="1" applyFill="1" applyBorder="1" applyAlignment="1" applyProtection="1">
      <alignment horizontal="center" vertical="center"/>
      <protection locked="0"/>
    </xf>
    <xf numFmtId="0" fontId="63" fillId="9" borderId="56" xfId="0" applyFont="1" applyFill="1" applyBorder="1" applyAlignment="1" applyProtection="1">
      <alignment horizontal="center" vertical="center"/>
      <protection locked="0"/>
    </xf>
    <xf numFmtId="0" fontId="63" fillId="0" borderId="57" xfId="0" applyFont="1" applyBorder="1" applyAlignment="1" applyProtection="1">
      <alignment horizontal="center" vertical="center"/>
      <protection locked="0"/>
    </xf>
    <xf numFmtId="0" fontId="63" fillId="0" borderId="58" xfId="0" applyFont="1" applyBorder="1" applyAlignment="1" applyProtection="1">
      <alignment horizontal="center" vertical="center"/>
      <protection locked="0"/>
    </xf>
    <xf numFmtId="0" fontId="63" fillId="0" borderId="69" xfId="0" applyFont="1" applyBorder="1" applyAlignment="1" applyProtection="1">
      <alignment horizontal="center" vertical="center"/>
      <protection locked="0"/>
    </xf>
    <xf numFmtId="0" fontId="63" fillId="9" borderId="58" xfId="0" applyFont="1" applyFill="1" applyBorder="1" applyAlignment="1" applyProtection="1">
      <alignment horizontal="center" vertical="center"/>
      <protection locked="0"/>
    </xf>
    <xf numFmtId="0" fontId="63" fillId="9" borderId="65" xfId="0" applyFont="1" applyFill="1" applyBorder="1" applyAlignment="1" applyProtection="1">
      <alignment horizontal="center" vertical="center"/>
      <protection locked="0"/>
    </xf>
    <xf numFmtId="0" fontId="63" fillId="0" borderId="63" xfId="0" applyFont="1" applyBorder="1" applyAlignment="1" applyProtection="1">
      <alignment horizontal="center" vertical="center"/>
      <protection locked="0"/>
    </xf>
    <xf numFmtId="0" fontId="63" fillId="0" borderId="56" xfId="0" applyFont="1" applyBorder="1" applyAlignment="1" applyProtection="1">
      <alignment horizontal="center" vertical="center"/>
      <protection locked="0"/>
    </xf>
    <xf numFmtId="0" fontId="76" fillId="0" borderId="0" xfId="0" applyFont="1" applyAlignment="1">
      <alignment horizontal="center" vertical="center" wrapText="1"/>
    </xf>
    <xf numFmtId="0" fontId="9" fillId="19" borderId="19" xfId="0" applyFont="1" applyFill="1" applyBorder="1" applyAlignment="1">
      <alignment horizontal="center"/>
    </xf>
    <xf numFmtId="0" fontId="4" fillId="19" borderId="23" xfId="0" applyFont="1" applyFill="1" applyBorder="1" applyAlignment="1">
      <alignment horizontal="center"/>
    </xf>
    <xf numFmtId="0" fontId="4" fillId="19" borderId="59" xfId="0" applyFont="1" applyFill="1" applyBorder="1" applyAlignment="1">
      <alignment horizontal="center"/>
    </xf>
    <xf numFmtId="0" fontId="54" fillId="4" borderId="0" xfId="0" applyFont="1" applyFill="1" applyAlignment="1">
      <alignment horizontal="left" vertical="center" wrapText="1"/>
    </xf>
    <xf numFmtId="0" fontId="77" fillId="0" borderId="0" xfId="0" applyFont="1" applyAlignment="1">
      <alignment horizontal="center" vertical="center"/>
    </xf>
    <xf numFmtId="0" fontId="9" fillId="26" borderId="64" xfId="0" applyFont="1" applyFill="1" applyBorder="1" applyAlignment="1">
      <alignment horizontal="right"/>
    </xf>
    <xf numFmtId="0" fontId="9" fillId="26" borderId="1" xfId="0" applyFont="1" applyFill="1" applyBorder="1" applyAlignment="1">
      <alignment horizontal="right"/>
    </xf>
    <xf numFmtId="0" fontId="9" fillId="26" borderId="4" xfId="0" applyFont="1" applyFill="1" applyBorder="1" applyAlignment="1">
      <alignment horizontal="right"/>
    </xf>
    <xf numFmtId="0" fontId="9" fillId="19" borderId="10" xfId="0" applyFont="1" applyFill="1" applyBorder="1" applyAlignment="1">
      <alignment horizontal="left"/>
    </xf>
    <xf numFmtId="0" fontId="9" fillId="19" borderId="11" xfId="0" applyFont="1" applyFill="1" applyBorder="1" applyAlignment="1">
      <alignment horizontal="left"/>
    </xf>
    <xf numFmtId="0" fontId="9" fillId="19" borderId="12" xfId="0" applyFont="1" applyFill="1" applyBorder="1" applyAlignment="1">
      <alignment horizontal="left"/>
    </xf>
    <xf numFmtId="0" fontId="9" fillId="19" borderId="13" xfId="0" applyFont="1" applyFill="1" applyBorder="1" applyAlignment="1">
      <alignment horizontal="left"/>
    </xf>
    <xf numFmtId="0" fontId="18" fillId="5" borderId="0" xfId="0" applyFont="1" applyFill="1" applyAlignment="1">
      <alignment horizontal="center" wrapText="1"/>
    </xf>
    <xf numFmtId="0" fontId="4" fillId="10" borderId="16" xfId="0" applyFont="1" applyFill="1" applyBorder="1" applyAlignment="1" applyProtection="1">
      <alignment horizontal="left"/>
      <protection locked="0"/>
    </xf>
    <xf numFmtId="0" fontId="4" fillId="10" borderId="14" xfId="0" applyFont="1" applyFill="1" applyBorder="1" applyAlignment="1" applyProtection="1">
      <alignment horizontal="left"/>
      <protection locked="0"/>
    </xf>
    <xf numFmtId="0" fontId="4" fillId="10" borderId="74" xfId="0" applyFont="1" applyFill="1" applyBorder="1" applyAlignment="1" applyProtection="1">
      <alignment horizontal="left"/>
      <protection locked="0"/>
    </xf>
    <xf numFmtId="0" fontId="0" fillId="10" borderId="2" xfId="0" applyFill="1" applyBorder="1" applyAlignment="1" applyProtection="1">
      <alignment horizontal="left"/>
      <protection locked="0"/>
    </xf>
    <xf numFmtId="0" fontId="0" fillId="10" borderId="75" xfId="0" applyFill="1" applyBorder="1" applyAlignment="1" applyProtection="1">
      <alignment horizontal="left"/>
      <protection locked="0"/>
    </xf>
    <xf numFmtId="0" fontId="34" fillId="14" borderId="73" xfId="0" applyFont="1" applyFill="1" applyBorder="1" applyAlignment="1">
      <alignment horizontal="right"/>
    </xf>
    <xf numFmtId="0" fontId="34" fillId="14" borderId="0" xfId="0" applyFont="1" applyFill="1" applyAlignment="1">
      <alignment horizontal="right"/>
    </xf>
    <xf numFmtId="0" fontId="34" fillId="14" borderId="3" xfId="0" applyFont="1" applyFill="1" applyBorder="1" applyAlignment="1">
      <alignment horizontal="right"/>
    </xf>
    <xf numFmtId="0" fontId="9" fillId="33" borderId="23" xfId="0" applyFont="1" applyFill="1" applyBorder="1" applyAlignment="1">
      <alignment horizontal="center"/>
    </xf>
    <xf numFmtId="0" fontId="9" fillId="33" borderId="59" xfId="0" applyFont="1" applyFill="1" applyBorder="1" applyAlignment="1">
      <alignment horizontal="center"/>
    </xf>
    <xf numFmtId="0" fontId="18" fillId="4" borderId="73" xfId="0" applyFont="1" applyFill="1" applyBorder="1" applyAlignment="1">
      <alignment horizontal="center" wrapText="1"/>
    </xf>
    <xf numFmtId="0" fontId="18" fillId="4" borderId="0" xfId="0" applyFont="1" applyFill="1" applyAlignment="1">
      <alignment horizontal="center" wrapText="1"/>
    </xf>
    <xf numFmtId="0" fontId="18" fillId="4" borderId="24" xfId="0" applyFont="1" applyFill="1" applyBorder="1" applyAlignment="1">
      <alignment horizontal="center" wrapText="1"/>
    </xf>
    <xf numFmtId="0" fontId="18" fillId="4" borderId="106" xfId="0" applyFont="1" applyFill="1" applyBorder="1" applyAlignment="1">
      <alignment horizontal="center" wrapText="1"/>
    </xf>
    <xf numFmtId="0" fontId="18" fillId="4" borderId="13" xfId="0" applyFont="1" applyFill="1" applyBorder="1" applyAlignment="1">
      <alignment horizontal="center" wrapText="1"/>
    </xf>
    <xf numFmtId="0" fontId="18" fillId="4" borderId="52" xfId="0" applyFont="1" applyFill="1" applyBorder="1" applyAlignment="1">
      <alignment horizontal="center" wrapText="1"/>
    </xf>
    <xf numFmtId="166" fontId="9" fillId="12" borderId="51" xfId="2" applyNumberFormat="1" applyFont="1" applyFill="1" applyBorder="1" applyAlignment="1" applyProtection="1"/>
    <xf numFmtId="166" fontId="9" fillId="12" borderId="52" xfId="2" applyNumberFormat="1" applyFont="1" applyFill="1" applyBorder="1" applyAlignment="1" applyProtection="1"/>
    <xf numFmtId="0" fontId="70" fillId="0" borderId="67" xfId="0" applyFont="1" applyBorder="1" applyAlignment="1">
      <alignment horizontal="center" vertical="center" wrapText="1"/>
    </xf>
    <xf numFmtId="0" fontId="70" fillId="0" borderId="0" xfId="0" applyFont="1" applyAlignment="1">
      <alignment horizontal="center" vertical="center" wrapText="1"/>
    </xf>
    <xf numFmtId="0" fontId="70" fillId="0" borderId="24" xfId="0" applyFont="1" applyBorder="1" applyAlignment="1">
      <alignment horizontal="center" vertical="center" wrapText="1"/>
    </xf>
    <xf numFmtId="0" fontId="70" fillId="0" borderId="12" xfId="0" applyFont="1" applyBorder="1" applyAlignment="1">
      <alignment horizontal="center" vertical="center" wrapText="1"/>
    </xf>
    <xf numFmtId="0" fontId="70" fillId="0" borderId="13" xfId="0" applyFont="1" applyBorder="1" applyAlignment="1">
      <alignment horizontal="center" vertical="center" wrapText="1"/>
    </xf>
    <xf numFmtId="0" fontId="70" fillId="0" borderId="52" xfId="0" applyFont="1" applyBorder="1" applyAlignment="1">
      <alignment horizontal="center" vertical="center" wrapText="1"/>
    </xf>
    <xf numFmtId="0" fontId="34" fillId="14" borderId="103" xfId="0" applyFont="1" applyFill="1" applyBorder="1"/>
    <xf numFmtId="0" fontId="34" fillId="14" borderId="78" xfId="0" applyFont="1" applyFill="1" applyBorder="1"/>
    <xf numFmtId="0" fontId="34" fillId="14" borderId="104" xfId="0" applyFont="1" applyFill="1" applyBorder="1"/>
    <xf numFmtId="0" fontId="51" fillId="14" borderId="99" xfId="0" applyFont="1" applyFill="1" applyBorder="1"/>
    <xf numFmtId="0" fontId="51" fillId="14" borderId="100" xfId="0" applyFont="1" applyFill="1" applyBorder="1"/>
    <xf numFmtId="0" fontId="51" fillId="14" borderId="101" xfId="0" applyFont="1" applyFill="1" applyBorder="1"/>
    <xf numFmtId="0" fontId="9" fillId="26" borderId="38" xfId="0" applyFont="1" applyFill="1" applyBorder="1" applyAlignment="1">
      <alignment horizontal="right"/>
    </xf>
    <xf numFmtId="0" fontId="9" fillId="26" borderId="34" xfId="0" applyFont="1" applyFill="1" applyBorder="1" applyAlignment="1">
      <alignment horizontal="right"/>
    </xf>
    <xf numFmtId="0" fontId="9" fillId="26" borderId="27" xfId="0" applyFont="1" applyFill="1" applyBorder="1" applyAlignment="1">
      <alignment horizontal="right"/>
    </xf>
    <xf numFmtId="166" fontId="9" fillId="33" borderId="36" xfId="2" applyNumberFormat="1" applyFont="1" applyFill="1" applyBorder="1" applyAlignment="1" applyProtection="1"/>
    <xf numFmtId="166" fontId="9" fillId="33" borderId="37" xfId="2" applyNumberFormat="1" applyFont="1" applyFill="1" applyBorder="1" applyAlignment="1" applyProtection="1"/>
    <xf numFmtId="49" fontId="57" fillId="0" borderId="0" xfId="0" applyNumberFormat="1" applyFont="1" applyAlignment="1">
      <alignment horizontal="right"/>
    </xf>
    <xf numFmtId="49" fontId="4" fillId="10" borderId="84" xfId="0" applyNumberFormat="1" applyFont="1" applyFill="1" applyBorder="1" applyAlignment="1" applyProtection="1">
      <alignment horizontal="left"/>
      <protection locked="0"/>
    </xf>
    <xf numFmtId="49" fontId="4" fillId="10" borderId="85" xfId="0" applyNumberFormat="1" applyFont="1" applyFill="1" applyBorder="1" applyAlignment="1" applyProtection="1">
      <alignment horizontal="left"/>
      <protection locked="0"/>
    </xf>
    <xf numFmtId="49" fontId="4" fillId="10" borderId="86" xfId="0" applyNumberFormat="1" applyFont="1" applyFill="1" applyBorder="1" applyAlignment="1" applyProtection="1">
      <alignment horizontal="left"/>
      <protection locked="0"/>
    </xf>
    <xf numFmtId="0" fontId="34" fillId="14" borderId="45" xfId="0" applyFont="1" applyFill="1" applyBorder="1" applyAlignment="1">
      <alignment horizontal="right"/>
    </xf>
    <xf numFmtId="0" fontId="34" fillId="14" borderId="71" xfId="0" applyFont="1" applyFill="1" applyBorder="1" applyAlignment="1">
      <alignment horizontal="right"/>
    </xf>
    <xf numFmtId="49" fontId="4" fillId="10" borderId="81" xfId="0" applyNumberFormat="1" applyFont="1" applyFill="1" applyBorder="1" applyAlignment="1" applyProtection="1">
      <alignment horizontal="center"/>
      <protection locked="0"/>
    </xf>
    <xf numFmtId="49" fontId="4" fillId="10" borderId="83" xfId="0" applyNumberFormat="1" applyFont="1" applyFill="1" applyBorder="1" applyAlignment="1" applyProtection="1">
      <alignment horizontal="center"/>
      <protection locked="0"/>
    </xf>
    <xf numFmtId="0" fontId="34" fillId="14" borderId="81" xfId="0" applyFont="1" applyFill="1" applyBorder="1" applyAlignment="1">
      <alignment horizontal="center"/>
    </xf>
    <xf numFmtId="0" fontId="34" fillId="14" borderId="82" xfId="0" applyFont="1" applyFill="1" applyBorder="1" applyAlignment="1">
      <alignment horizontal="center"/>
    </xf>
    <xf numFmtId="49" fontId="4" fillId="10" borderId="21" xfId="0" applyNumberFormat="1" applyFont="1" applyFill="1" applyBorder="1" applyAlignment="1" applyProtection="1">
      <alignment horizontal="left"/>
      <protection locked="0"/>
    </xf>
    <xf numFmtId="49" fontId="4" fillId="10" borderId="46" xfId="0" applyNumberFormat="1" applyFont="1" applyFill="1" applyBorder="1" applyAlignment="1" applyProtection="1">
      <alignment horizontal="left"/>
      <protection locked="0"/>
    </xf>
    <xf numFmtId="49" fontId="4" fillId="10" borderId="72" xfId="0" applyNumberFormat="1" applyFont="1" applyFill="1" applyBorder="1" applyAlignment="1" applyProtection="1">
      <alignment horizontal="left"/>
      <protection locked="0"/>
    </xf>
    <xf numFmtId="0" fontId="4" fillId="10" borderId="9" xfId="0" applyFont="1" applyFill="1" applyBorder="1" applyAlignment="1" applyProtection="1">
      <alignment horizontal="left"/>
      <protection locked="0"/>
    </xf>
    <xf numFmtId="0" fontId="4" fillId="10" borderId="1" xfId="0" applyFont="1" applyFill="1" applyBorder="1" applyAlignment="1" applyProtection="1">
      <alignment horizontal="left"/>
      <protection locked="0"/>
    </xf>
    <xf numFmtId="0" fontId="4" fillId="10" borderId="76" xfId="0" applyFont="1" applyFill="1" applyBorder="1" applyAlignment="1" applyProtection="1">
      <alignment horizontal="left"/>
      <protection locked="0"/>
    </xf>
    <xf numFmtId="0" fontId="4" fillId="4" borderId="16" xfId="0" applyFont="1" applyFill="1" applyBorder="1" applyAlignment="1">
      <alignment horizontal="left"/>
    </xf>
    <xf numFmtId="0" fontId="4" fillId="4" borderId="14" xfId="0" applyFont="1" applyFill="1" applyBorder="1" applyAlignment="1">
      <alignment horizontal="left"/>
    </xf>
    <xf numFmtId="0" fontId="4" fillId="4" borderId="74" xfId="0" applyFont="1" applyFill="1" applyBorder="1" applyAlignment="1">
      <alignment horizontal="left"/>
    </xf>
    <xf numFmtId="49" fontId="4" fillId="10" borderId="87" xfId="0" applyNumberFormat="1" applyFont="1" applyFill="1" applyBorder="1" applyAlignment="1" applyProtection="1">
      <alignment horizontal="left"/>
      <protection locked="0"/>
    </xf>
    <xf numFmtId="49" fontId="4" fillId="10" borderId="88" xfId="0" applyNumberFormat="1" applyFont="1" applyFill="1" applyBorder="1" applyAlignment="1" applyProtection="1">
      <alignment horizontal="left"/>
      <protection locked="0"/>
    </xf>
    <xf numFmtId="0" fontId="4" fillId="10" borderId="80" xfId="0" applyFont="1" applyFill="1" applyBorder="1" applyAlignment="1" applyProtection="1">
      <alignment horizontal="left"/>
      <protection locked="0"/>
    </xf>
    <xf numFmtId="49" fontId="15" fillId="0" borderId="0" xfId="0" applyNumberFormat="1" applyFont="1" applyAlignment="1">
      <alignment horizontal="left"/>
    </xf>
    <xf numFmtId="0" fontId="34" fillId="14" borderId="78" xfId="0" applyFont="1" applyFill="1" applyBorder="1" applyAlignment="1">
      <alignment horizontal="right"/>
    </xf>
    <xf numFmtId="0" fontId="34" fillId="14" borderId="79" xfId="0" applyFont="1" applyFill="1" applyBorder="1" applyAlignment="1">
      <alignment horizontal="right"/>
    </xf>
    <xf numFmtId="0" fontId="63" fillId="0" borderId="65" xfId="0" applyFont="1" applyBorder="1" applyAlignment="1" applyProtection="1">
      <alignment horizontal="center" vertical="center"/>
      <protection locked="0"/>
    </xf>
    <xf numFmtId="0" fontId="52" fillId="14" borderId="70" xfId="0" applyFont="1" applyFill="1" applyBorder="1" applyAlignment="1">
      <alignment horizontal="center"/>
    </xf>
    <xf numFmtId="0" fontId="52" fillId="14" borderId="45" xfId="0" applyFont="1" applyFill="1" applyBorder="1" applyAlignment="1">
      <alignment horizontal="center"/>
    </xf>
    <xf numFmtId="0" fontId="52" fillId="14" borderId="73" xfId="0" applyFont="1" applyFill="1" applyBorder="1" applyAlignment="1">
      <alignment horizontal="center"/>
    </xf>
    <xf numFmtId="0" fontId="52" fillId="14" borderId="0" xfId="0" applyFont="1" applyFill="1" applyAlignment="1">
      <alignment horizontal="center"/>
    </xf>
    <xf numFmtId="0" fontId="52" fillId="14" borderId="92" xfId="0" applyFont="1" applyFill="1" applyBorder="1" applyAlignment="1">
      <alignment horizontal="center"/>
    </xf>
    <xf numFmtId="0" fontId="63" fillId="9" borderId="69" xfId="0" applyFont="1" applyFill="1" applyBorder="1" applyAlignment="1" applyProtection="1">
      <alignment horizontal="center" vertical="center"/>
      <protection locked="0"/>
    </xf>
    <xf numFmtId="0" fontId="9" fillId="4" borderId="27" xfId="0" applyFont="1" applyFill="1" applyBorder="1" applyAlignment="1">
      <alignment horizontal="center"/>
    </xf>
    <xf numFmtId="0" fontId="9" fillId="4" borderId="35" xfId="0" applyFont="1" applyFill="1" applyBorder="1" applyAlignment="1">
      <alignment horizontal="center"/>
    </xf>
    <xf numFmtId="0" fontId="9" fillId="0" borderId="13" xfId="0" applyFont="1" applyBorder="1" applyAlignment="1">
      <alignment horizontal="right"/>
    </xf>
    <xf numFmtId="0" fontId="9" fillId="0" borderId="52" xfId="0" applyFont="1" applyBorder="1" applyAlignment="1">
      <alignment horizontal="right"/>
    </xf>
    <xf numFmtId="0" fontId="4" fillId="4" borderId="27" xfId="0" applyFont="1" applyFill="1" applyBorder="1" applyAlignment="1">
      <alignment horizontal="left" vertical="center"/>
    </xf>
    <xf numFmtId="0" fontId="4" fillId="4" borderId="25" xfId="0" applyFont="1" applyFill="1" applyBorder="1" applyAlignment="1">
      <alignment horizontal="left" vertical="center"/>
    </xf>
    <xf numFmtId="0" fontId="4" fillId="0" borderId="0" xfId="0" applyFont="1" applyAlignment="1">
      <alignment horizontal="left" wrapText="1"/>
    </xf>
    <xf numFmtId="0" fontId="39" fillId="0" borderId="12" xfId="0" applyFont="1" applyBorder="1" applyAlignment="1">
      <alignment horizontal="center" wrapText="1"/>
    </xf>
    <xf numFmtId="0" fontId="39" fillId="0" borderId="13" xfId="0" applyFont="1" applyBorder="1" applyAlignment="1">
      <alignment horizontal="center" wrapText="1"/>
    </xf>
    <xf numFmtId="0" fontId="39" fillId="0" borderId="52" xfId="0" applyFont="1" applyBorder="1" applyAlignment="1">
      <alignment horizontal="center" wrapText="1"/>
    </xf>
    <xf numFmtId="0" fontId="51" fillId="0" borderId="10" xfId="0" applyFont="1" applyBorder="1" applyAlignment="1">
      <alignment horizontal="center"/>
    </xf>
    <xf numFmtId="0" fontId="51" fillId="0" borderId="11" xfId="0" applyFont="1" applyBorder="1" applyAlignment="1">
      <alignment horizontal="center"/>
    </xf>
    <xf numFmtId="0" fontId="51" fillId="0" borderId="17" xfId="0" applyFont="1" applyBorder="1" applyAlignment="1">
      <alignment horizontal="center"/>
    </xf>
    <xf numFmtId="49" fontId="34" fillId="19" borderId="19" xfId="0" applyNumberFormat="1" applyFont="1" applyFill="1" applyBorder="1"/>
    <xf numFmtId="49" fontId="34" fillId="19" borderId="23" xfId="0" applyNumberFormat="1" applyFont="1" applyFill="1" applyBorder="1"/>
    <xf numFmtId="0" fontId="9" fillId="22" borderId="19" xfId="0" applyFont="1" applyFill="1" applyBorder="1" applyAlignment="1">
      <alignment horizontal="center"/>
    </xf>
    <xf numFmtId="0" fontId="4" fillId="22" borderId="23" xfId="0" applyFont="1" applyFill="1" applyBorder="1" applyAlignment="1">
      <alignment horizontal="center"/>
    </xf>
    <xf numFmtId="0" fontId="4" fillId="22" borderId="59" xfId="0" applyFont="1" applyFill="1" applyBorder="1" applyAlignment="1">
      <alignment horizontal="center"/>
    </xf>
    <xf numFmtId="0" fontId="18" fillId="4" borderId="10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7" xfId="0" applyFont="1" applyFill="1" applyBorder="1" applyAlignment="1">
      <alignment horizontal="center" vertical="center" wrapText="1"/>
    </xf>
    <xf numFmtId="0" fontId="18" fillId="4" borderId="24" xfId="0" applyFont="1" applyFill="1" applyBorder="1" applyAlignment="1">
      <alignment horizontal="center" vertical="center" wrapText="1"/>
    </xf>
    <xf numFmtId="0" fontId="9" fillId="4" borderId="33" xfId="0" applyFont="1" applyFill="1" applyBorder="1" applyAlignment="1">
      <alignment horizontal="left"/>
    </xf>
    <xf numFmtId="0" fontId="9" fillId="4" borderId="25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9" fillId="4" borderId="28" xfId="0" applyFont="1" applyFill="1" applyBorder="1" applyAlignment="1">
      <alignment horizontal="left"/>
    </xf>
    <xf numFmtId="0" fontId="9" fillId="4" borderId="36" xfId="0" applyFont="1" applyFill="1" applyBorder="1" applyAlignment="1">
      <alignment horizontal="left"/>
    </xf>
    <xf numFmtId="0" fontId="9" fillId="4" borderId="0" xfId="0" applyFont="1" applyFill="1" applyAlignment="1">
      <alignment horizontal="center"/>
    </xf>
    <xf numFmtId="0" fontId="9" fillId="4" borderId="13" xfId="0" applyFont="1" applyFill="1" applyBorder="1" applyAlignment="1">
      <alignment horizontal="center"/>
    </xf>
    <xf numFmtId="49" fontId="4" fillId="4" borderId="25" xfId="0" applyNumberFormat="1" applyFont="1" applyFill="1" applyBorder="1" applyAlignment="1">
      <alignment horizontal="left"/>
    </xf>
    <xf numFmtId="0" fontId="4" fillId="4" borderId="25" xfId="0" applyFont="1" applyFill="1" applyBorder="1" applyAlignment="1">
      <alignment horizontal="left"/>
    </xf>
    <xf numFmtId="0" fontId="4" fillId="4" borderId="26" xfId="0" applyFont="1" applyFill="1" applyBorder="1" applyAlignment="1">
      <alignment horizontal="left"/>
    </xf>
    <xf numFmtId="0" fontId="4" fillId="4" borderId="35" xfId="0" applyFont="1" applyFill="1" applyBorder="1" applyAlignment="1">
      <alignment horizontal="left"/>
    </xf>
    <xf numFmtId="0" fontId="4" fillId="4" borderId="40" xfId="0" applyFont="1" applyFill="1" applyBorder="1" applyAlignment="1">
      <alignment horizontal="left"/>
    </xf>
    <xf numFmtId="0" fontId="9" fillId="0" borderId="0" xfId="0" applyFont="1" applyAlignment="1">
      <alignment horizontal="right"/>
    </xf>
    <xf numFmtId="0" fontId="9" fillId="0" borderId="24" xfId="0" applyFont="1" applyBorder="1" applyAlignment="1">
      <alignment horizontal="right"/>
    </xf>
    <xf numFmtId="0" fontId="9" fillId="4" borderId="33" xfId="0" applyFont="1" applyFill="1" applyBorder="1" applyAlignment="1">
      <alignment horizontal="right"/>
    </xf>
    <xf numFmtId="0" fontId="9" fillId="4" borderId="35" xfId="0" applyFont="1" applyFill="1" applyBorder="1" applyAlignment="1">
      <alignment horizontal="right"/>
    </xf>
    <xf numFmtId="0" fontId="9" fillId="4" borderId="18" xfId="0" applyFont="1" applyFill="1" applyBorder="1" applyAlignment="1">
      <alignment horizontal="center"/>
    </xf>
    <xf numFmtId="0" fontId="9" fillId="4" borderId="95" xfId="0" applyFont="1" applyFill="1" applyBorder="1" applyAlignment="1">
      <alignment horizontal="center"/>
    </xf>
    <xf numFmtId="0" fontId="9" fillId="4" borderId="93" xfId="0" applyFont="1" applyFill="1" applyBorder="1" applyAlignment="1">
      <alignment horizontal="right"/>
    </xf>
    <xf numFmtId="0" fontId="9" fillId="4" borderId="95" xfId="0" applyFont="1" applyFill="1" applyBorder="1" applyAlignment="1">
      <alignment horizontal="right"/>
    </xf>
    <xf numFmtId="0" fontId="9" fillId="14" borderId="10" xfId="0" applyFont="1" applyFill="1" applyBorder="1" applyAlignment="1">
      <alignment horizontal="left" wrapText="1"/>
    </xf>
    <xf numFmtId="0" fontId="9" fillId="14" borderId="17" xfId="0" applyFont="1" applyFill="1" applyBorder="1" applyAlignment="1">
      <alignment horizontal="left" wrapText="1"/>
    </xf>
    <xf numFmtId="0" fontId="9" fillId="14" borderId="67" xfId="0" applyFont="1" applyFill="1" applyBorder="1" applyAlignment="1">
      <alignment horizontal="left" wrapText="1"/>
    </xf>
    <xf numFmtId="0" fontId="9" fillId="14" borderId="24" xfId="0" applyFont="1" applyFill="1" applyBorder="1" applyAlignment="1">
      <alignment horizontal="left" wrapText="1"/>
    </xf>
    <xf numFmtId="0" fontId="9" fillId="14" borderId="12" xfId="0" applyFont="1" applyFill="1" applyBorder="1" applyAlignment="1">
      <alignment horizontal="left" wrapText="1"/>
    </xf>
    <xf numFmtId="0" fontId="9" fillId="14" borderId="13" xfId="0" applyFont="1" applyFill="1" applyBorder="1" applyAlignment="1">
      <alignment horizontal="left" wrapText="1"/>
    </xf>
    <xf numFmtId="0" fontId="36" fillId="11" borderId="0" xfId="0" applyFont="1" applyFill="1" applyAlignment="1">
      <alignment horizontal="center"/>
    </xf>
    <xf numFmtId="0" fontId="39" fillId="3" borderId="10" xfId="0" applyFont="1" applyFill="1" applyBorder="1" applyAlignment="1">
      <alignment horizontal="center" vertical="center"/>
    </xf>
    <xf numFmtId="0" fontId="39" fillId="3" borderId="11" xfId="0" applyFont="1" applyFill="1" applyBorder="1" applyAlignment="1">
      <alignment horizontal="center" vertical="center"/>
    </xf>
    <xf numFmtId="0" fontId="39" fillId="3" borderId="17" xfId="0" applyFont="1" applyFill="1" applyBorder="1" applyAlignment="1">
      <alignment horizontal="center" vertical="center"/>
    </xf>
    <xf numFmtId="0" fontId="39" fillId="3" borderId="12" xfId="0" applyFont="1" applyFill="1" applyBorder="1" applyAlignment="1">
      <alignment horizontal="center" vertical="center"/>
    </xf>
    <xf numFmtId="0" fontId="39" fillId="3" borderId="13" xfId="0" applyFont="1" applyFill="1" applyBorder="1" applyAlignment="1">
      <alignment horizontal="center" vertical="center"/>
    </xf>
    <xf numFmtId="0" fontId="39" fillId="3" borderId="52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left"/>
    </xf>
    <xf numFmtId="0" fontId="4" fillId="4" borderId="95" xfId="0" applyFont="1" applyFill="1" applyBorder="1" applyAlignment="1">
      <alignment horizontal="left"/>
    </xf>
    <xf numFmtId="0" fontId="9" fillId="0" borderId="10" xfId="0" applyFont="1" applyBorder="1" applyAlignment="1">
      <alignment horizontal="right"/>
    </xf>
    <xf numFmtId="0" fontId="9" fillId="0" borderId="17" xfId="0" applyFont="1" applyBorder="1" applyAlignment="1">
      <alignment horizontal="right"/>
    </xf>
    <xf numFmtId="0" fontId="9" fillId="0" borderId="12" xfId="0" applyFont="1" applyBorder="1" applyAlignment="1">
      <alignment horizontal="right"/>
    </xf>
    <xf numFmtId="49" fontId="4" fillId="4" borderId="38" xfId="0" applyNumberFormat="1" applyFont="1" applyFill="1" applyBorder="1" applyAlignment="1">
      <alignment horizontal="left"/>
    </xf>
    <xf numFmtId="0" fontId="4" fillId="4" borderId="34" xfId="0" applyFont="1" applyFill="1" applyBorder="1" applyAlignment="1">
      <alignment horizontal="left"/>
    </xf>
    <xf numFmtId="0" fontId="4" fillId="4" borderId="50" xfId="0" applyFont="1" applyFill="1" applyBorder="1" applyAlignment="1">
      <alignment horizontal="left"/>
    </xf>
    <xf numFmtId="0" fontId="9" fillId="0" borderId="19" xfId="0" applyFont="1" applyBorder="1" applyAlignment="1">
      <alignment horizontal="right"/>
    </xf>
    <xf numFmtId="0" fontId="9" fillId="0" borderId="59" xfId="0" applyFont="1" applyBorder="1" applyAlignment="1">
      <alignment horizontal="right"/>
    </xf>
    <xf numFmtId="0" fontId="9" fillId="0" borderId="67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49" fontId="4" fillId="4" borderId="93" xfId="0" applyNumberFormat="1" applyFont="1" applyFill="1" applyBorder="1" applyAlignment="1">
      <alignment horizontal="left"/>
    </xf>
    <xf numFmtId="0" fontId="4" fillId="4" borderId="23" xfId="0" applyFont="1" applyFill="1" applyBorder="1" applyAlignment="1">
      <alignment horizontal="left"/>
    </xf>
    <xf numFmtId="0" fontId="4" fillId="4" borderId="59" xfId="0" applyFont="1" applyFill="1" applyBorder="1" applyAlignment="1">
      <alignment horizontal="left"/>
    </xf>
    <xf numFmtId="0" fontId="58" fillId="0" borderId="10" xfId="0" applyFont="1" applyBorder="1" applyAlignment="1">
      <alignment horizontal="center"/>
    </xf>
    <xf numFmtId="0" fontId="58" fillId="0" borderId="11" xfId="0" applyFont="1" applyBorder="1" applyAlignment="1">
      <alignment horizontal="center"/>
    </xf>
    <xf numFmtId="0" fontId="58" fillId="0" borderId="17" xfId="0" applyFont="1" applyBorder="1" applyAlignment="1">
      <alignment horizontal="center"/>
    </xf>
    <xf numFmtId="0" fontId="9" fillId="0" borderId="28" xfId="0" applyFont="1" applyBorder="1" applyAlignment="1">
      <alignment horizontal="right"/>
    </xf>
    <xf numFmtId="0" fontId="9" fillId="0" borderId="37" xfId="0" applyFont="1" applyBorder="1" applyAlignment="1">
      <alignment horizontal="right"/>
    </xf>
    <xf numFmtId="0" fontId="9" fillId="4" borderId="13" xfId="0" applyFont="1" applyFill="1" applyBorder="1" applyAlignment="1">
      <alignment horizontal="right"/>
    </xf>
    <xf numFmtId="0" fontId="9" fillId="4" borderId="52" xfId="0" applyFont="1" applyFill="1" applyBorder="1" applyAlignment="1">
      <alignment horizontal="right"/>
    </xf>
    <xf numFmtId="0" fontId="18" fillId="4" borderId="0" xfId="0" applyFont="1" applyFill="1" applyAlignment="1">
      <alignment horizontal="center" vertical="center" wrapText="1"/>
    </xf>
    <xf numFmtId="0" fontId="18" fillId="4" borderId="12" xfId="0" applyFont="1" applyFill="1" applyBorder="1" applyAlignment="1">
      <alignment horizontal="center" vertical="center" wrapText="1"/>
    </xf>
    <xf numFmtId="0" fontId="18" fillId="4" borderId="52" xfId="0" applyFont="1" applyFill="1" applyBorder="1" applyAlignment="1">
      <alignment horizontal="center" vertical="center" wrapText="1"/>
    </xf>
    <xf numFmtId="0" fontId="4" fillId="4" borderId="64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96" xfId="0" applyFont="1" applyFill="1" applyBorder="1" applyAlignment="1">
      <alignment horizontal="left"/>
    </xf>
    <xf numFmtId="0" fontId="9" fillId="4" borderId="93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right"/>
    </xf>
    <xf numFmtId="0" fontId="9" fillId="4" borderId="38" xfId="0" applyFont="1" applyFill="1" applyBorder="1" applyAlignment="1">
      <alignment horizontal="center"/>
    </xf>
    <xf numFmtId="0" fontId="9" fillId="4" borderId="50" xfId="0" applyFont="1" applyFill="1" applyBorder="1" applyAlignment="1">
      <alignment horizontal="center"/>
    </xf>
    <xf numFmtId="0" fontId="4" fillId="4" borderId="33" xfId="0" applyFont="1" applyFill="1" applyBorder="1" applyAlignment="1">
      <alignment horizontal="left"/>
    </xf>
    <xf numFmtId="49" fontId="4" fillId="4" borderId="38" xfId="0" applyNumberFormat="1" applyFont="1" applyFill="1" applyBorder="1" applyAlignment="1">
      <alignment horizontal="left" vertical="center"/>
    </xf>
    <xf numFmtId="0" fontId="4" fillId="4" borderId="34" xfId="0" applyFont="1" applyFill="1" applyBorder="1" applyAlignment="1">
      <alignment horizontal="left" vertical="center"/>
    </xf>
    <xf numFmtId="0" fontId="4" fillId="4" borderId="50" xfId="0" applyFont="1" applyFill="1" applyBorder="1" applyAlignment="1">
      <alignment horizontal="left" vertical="center"/>
    </xf>
    <xf numFmtId="0" fontId="59" fillId="12" borderId="45" xfId="0" applyFont="1" applyFill="1" applyBorder="1" applyAlignment="1">
      <alignment horizontal="center" wrapText="1"/>
    </xf>
    <xf numFmtId="0" fontId="59" fillId="12" borderId="45" xfId="0" applyFont="1" applyFill="1" applyBorder="1" applyAlignment="1">
      <alignment horizontal="center"/>
    </xf>
    <xf numFmtId="0" fontId="59" fillId="12" borderId="0" xfId="0" applyFont="1" applyFill="1" applyAlignment="1">
      <alignment horizontal="center"/>
    </xf>
    <xf numFmtId="0" fontId="59" fillId="12" borderId="92" xfId="0" applyFont="1" applyFill="1" applyBorder="1" applyAlignment="1">
      <alignment horizontal="center"/>
    </xf>
    <xf numFmtId="0" fontId="9" fillId="0" borderId="36" xfId="0" applyFont="1" applyBorder="1" applyAlignment="1">
      <alignment horizontal="right"/>
    </xf>
    <xf numFmtId="0" fontId="9" fillId="4" borderId="0" xfId="0" applyFont="1" applyFill="1" applyAlignment="1">
      <alignment horizontal="right"/>
    </xf>
    <xf numFmtId="0" fontId="9" fillId="0" borderId="33" xfId="0" applyFont="1" applyBorder="1" applyAlignment="1">
      <alignment horizontal="right"/>
    </xf>
    <xf numFmtId="0" fontId="9" fillId="0" borderId="25" xfId="0" applyFont="1" applyBorder="1" applyAlignment="1">
      <alignment horizontal="right"/>
    </xf>
    <xf numFmtId="49" fontId="4" fillId="4" borderId="12" xfId="0" applyNumberFormat="1" applyFont="1" applyFill="1" applyBorder="1" applyAlignment="1">
      <alignment horizontal="left"/>
    </xf>
    <xf numFmtId="0" fontId="4" fillId="4" borderId="13" xfId="0" applyFont="1" applyFill="1" applyBorder="1" applyAlignment="1">
      <alignment horizontal="left"/>
    </xf>
    <xf numFmtId="0" fontId="4" fillId="4" borderId="52" xfId="0" applyFont="1" applyFill="1" applyBorder="1" applyAlignment="1">
      <alignment horizontal="left"/>
    </xf>
    <xf numFmtId="49" fontId="4" fillId="4" borderId="64" xfId="0" applyNumberFormat="1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9" fillId="4" borderId="24" xfId="0" applyFont="1" applyFill="1" applyBorder="1" applyAlignment="1">
      <alignment horizontal="right"/>
    </xf>
    <xf numFmtId="0" fontId="9" fillId="4" borderId="67" xfId="0" applyFont="1" applyFill="1" applyBorder="1" applyAlignment="1">
      <alignment horizontal="right"/>
    </xf>
    <xf numFmtId="0" fontId="10" fillId="14" borderId="10" xfId="0" applyFont="1" applyFill="1" applyBorder="1" applyAlignment="1">
      <alignment horizontal="center" wrapText="1"/>
    </xf>
    <xf numFmtId="0" fontId="10" fillId="14" borderId="11" xfId="0" applyFont="1" applyFill="1" applyBorder="1" applyAlignment="1">
      <alignment horizontal="center" wrapText="1"/>
    </xf>
    <xf numFmtId="0" fontId="10" fillId="14" borderId="17" xfId="0" applyFont="1" applyFill="1" applyBorder="1" applyAlignment="1">
      <alignment horizontal="center" wrapText="1"/>
    </xf>
    <xf numFmtId="0" fontId="10" fillId="14" borderId="67" xfId="0" applyFont="1" applyFill="1" applyBorder="1" applyAlignment="1">
      <alignment horizontal="center" wrapText="1"/>
    </xf>
    <xf numFmtId="0" fontId="10" fillId="14" borderId="0" xfId="0" applyFont="1" applyFill="1" applyAlignment="1">
      <alignment horizontal="center" wrapText="1"/>
    </xf>
    <xf numFmtId="0" fontId="10" fillId="14" borderId="24" xfId="0" applyFont="1" applyFill="1" applyBorder="1" applyAlignment="1">
      <alignment horizontal="center" wrapText="1"/>
    </xf>
    <xf numFmtId="0" fontId="10" fillId="14" borderId="12" xfId="0" applyFont="1" applyFill="1" applyBorder="1" applyAlignment="1">
      <alignment horizontal="center" wrapText="1"/>
    </xf>
    <xf numFmtId="0" fontId="10" fillId="14" borderId="13" xfId="0" applyFont="1" applyFill="1" applyBorder="1" applyAlignment="1">
      <alignment horizontal="center" wrapText="1"/>
    </xf>
    <xf numFmtId="0" fontId="10" fillId="14" borderId="52" xfId="0" applyFont="1" applyFill="1" applyBorder="1" applyAlignment="1">
      <alignment horizontal="center" wrapText="1"/>
    </xf>
    <xf numFmtId="49" fontId="34" fillId="19" borderId="59" xfId="0" applyNumberFormat="1" applyFont="1" applyFill="1" applyBorder="1"/>
    <xf numFmtId="0" fontId="9" fillId="0" borderId="61" xfId="0" applyFont="1" applyBorder="1" applyAlignment="1">
      <alignment horizontal="center" vertical="top" wrapText="1"/>
    </xf>
    <xf numFmtId="0" fontId="9" fillId="0" borderId="62" xfId="0" applyFont="1" applyBorder="1" applyAlignment="1">
      <alignment horizontal="center" vertical="top" wrapText="1"/>
    </xf>
    <xf numFmtId="0" fontId="39" fillId="3" borderId="10" xfId="0" applyFont="1" applyFill="1" applyBorder="1" applyAlignment="1">
      <alignment horizontal="right" vertical="center"/>
    </xf>
    <xf numFmtId="0" fontId="39" fillId="3" borderId="11" xfId="0" applyFont="1" applyFill="1" applyBorder="1" applyAlignment="1">
      <alignment horizontal="right" vertical="center"/>
    </xf>
    <xf numFmtId="0" fontId="39" fillId="3" borderId="17" xfId="0" applyFont="1" applyFill="1" applyBorder="1" applyAlignment="1">
      <alignment horizontal="right" vertical="center"/>
    </xf>
    <xf numFmtId="0" fontId="39" fillId="3" borderId="12" xfId="0" applyFont="1" applyFill="1" applyBorder="1" applyAlignment="1">
      <alignment horizontal="right" vertical="center"/>
    </xf>
    <xf numFmtId="0" fontId="39" fillId="3" borderId="13" xfId="0" applyFont="1" applyFill="1" applyBorder="1" applyAlignment="1">
      <alignment horizontal="right" vertical="center"/>
    </xf>
    <xf numFmtId="0" fontId="39" fillId="3" borderId="52" xfId="0" applyFont="1" applyFill="1" applyBorder="1" applyAlignment="1">
      <alignment horizontal="right" vertical="center"/>
    </xf>
    <xf numFmtId="0" fontId="4" fillId="4" borderId="93" xfId="0" applyFont="1" applyFill="1" applyBorder="1" applyAlignment="1">
      <alignment horizontal="left"/>
    </xf>
    <xf numFmtId="0" fontId="4" fillId="0" borderId="0" xfId="0" applyFont="1" applyAlignment="1" applyProtection="1">
      <alignment horizontal="left" wrapText="1"/>
      <protection locked="0"/>
    </xf>
    <xf numFmtId="0" fontId="9" fillId="4" borderId="10" xfId="0" applyFont="1" applyFill="1" applyBorder="1" applyAlignment="1">
      <alignment horizontal="right"/>
    </xf>
    <xf numFmtId="0" fontId="9" fillId="4" borderId="11" xfId="0" applyFont="1" applyFill="1" applyBorder="1" applyAlignment="1">
      <alignment horizontal="right"/>
    </xf>
    <xf numFmtId="0" fontId="9" fillId="4" borderId="17" xfId="0" applyFont="1" applyFill="1" applyBorder="1" applyAlignment="1">
      <alignment horizontal="right"/>
    </xf>
    <xf numFmtId="49" fontId="71" fillId="0" borderId="25" xfId="0" applyNumberFormat="1" applyFont="1" applyBorder="1"/>
    <xf numFmtId="49" fontId="71" fillId="0" borderId="25" xfId="2" applyNumberFormat="1" applyFont="1" applyFill="1" applyBorder="1" applyAlignment="1" applyProtection="1">
      <alignment horizontal="left"/>
    </xf>
    <xf numFmtId="49" fontId="71" fillId="0" borderId="26" xfId="2" applyNumberFormat="1" applyFont="1" applyFill="1" applyBorder="1" applyAlignment="1" applyProtection="1">
      <alignment horizontal="left"/>
    </xf>
    <xf numFmtId="49" fontId="71" fillId="9" borderId="2" xfId="0" applyNumberFormat="1" applyFont="1" applyFill="1" applyBorder="1"/>
    <xf numFmtId="49" fontId="71" fillId="9" borderId="2" xfId="2" applyNumberFormat="1" applyFont="1" applyFill="1" applyBorder="1" applyAlignment="1" applyProtection="1">
      <alignment horizontal="left"/>
    </xf>
    <xf numFmtId="49" fontId="71" fillId="9" borderId="16" xfId="2" applyNumberFormat="1" applyFont="1" applyFill="1" applyBorder="1" applyAlignment="1" applyProtection="1">
      <alignment horizontal="left"/>
    </xf>
    <xf numFmtId="49" fontId="71" fillId="0" borderId="2" xfId="0" applyNumberFormat="1" applyFont="1" applyBorder="1"/>
    <xf numFmtId="49" fontId="71" fillId="0" borderId="2" xfId="2" applyNumberFormat="1" applyFont="1" applyFill="1" applyBorder="1" applyAlignment="1" applyProtection="1">
      <alignment horizontal="left"/>
    </xf>
    <xf numFmtId="49" fontId="71" fillId="0" borderId="16" xfId="2" applyNumberFormat="1" applyFont="1" applyFill="1" applyBorder="1" applyAlignment="1" applyProtection="1">
      <alignment horizontal="left"/>
    </xf>
    <xf numFmtId="49" fontId="71" fillId="20" borderId="2" xfId="0" applyNumberFormat="1" applyFont="1" applyFill="1" applyBorder="1"/>
    <xf numFmtId="49" fontId="71" fillId="20" borderId="2" xfId="2" applyNumberFormat="1" applyFont="1" applyFill="1" applyBorder="1" applyAlignment="1" applyProtection="1">
      <alignment horizontal="left"/>
    </xf>
    <xf numFmtId="49" fontId="71" fillId="20" borderId="16" xfId="2" applyNumberFormat="1" applyFont="1" applyFill="1" applyBorder="1" applyAlignment="1" applyProtection="1">
      <alignment horizontal="left"/>
    </xf>
    <xf numFmtId="49" fontId="71" fillId="0" borderId="16" xfId="0" applyNumberFormat="1" applyFont="1" applyBorder="1"/>
    <xf numFmtId="49" fontId="71" fillId="0" borderId="14" xfId="0" applyNumberFormat="1" applyFont="1" applyBorder="1"/>
    <xf numFmtId="49" fontId="71" fillId="0" borderId="15" xfId="0" applyNumberFormat="1" applyFont="1" applyBorder="1"/>
    <xf numFmtId="49" fontId="71" fillId="0" borderId="14" xfId="2" applyNumberFormat="1" applyFont="1" applyFill="1" applyBorder="1" applyAlignment="1" applyProtection="1">
      <alignment horizontal="left"/>
    </xf>
    <xf numFmtId="49" fontId="71" fillId="9" borderId="16" xfId="0" applyNumberFormat="1" applyFont="1" applyFill="1" applyBorder="1"/>
    <xf numFmtId="49" fontId="71" fillId="9" borderId="14" xfId="0" applyNumberFormat="1" applyFont="1" applyFill="1" applyBorder="1"/>
    <xf numFmtId="49" fontId="71" fillId="9" borderId="15" xfId="0" applyNumberFormat="1" applyFont="1" applyFill="1" applyBorder="1"/>
    <xf numFmtId="49" fontId="71" fillId="9" borderId="14" xfId="2" applyNumberFormat="1" applyFont="1" applyFill="1" applyBorder="1" applyAlignment="1" applyProtection="1">
      <alignment horizontal="left"/>
    </xf>
    <xf numFmtId="49" fontId="71" fillId="0" borderId="5" xfId="0" applyNumberFormat="1" applyFont="1" applyBorder="1"/>
    <xf numFmtId="49" fontId="71" fillId="0" borderId="6" xfId="0" applyNumberFormat="1" applyFont="1" applyBorder="1"/>
    <xf numFmtId="49" fontId="71" fillId="0" borderId="7" xfId="0" applyNumberFormat="1" applyFont="1" applyBorder="1"/>
    <xf numFmtId="49" fontId="71" fillId="0" borderId="5" xfId="2" applyNumberFormat="1" applyFont="1" applyFill="1" applyBorder="1" applyAlignment="1" applyProtection="1">
      <alignment horizontal="left"/>
    </xf>
    <xf numFmtId="49" fontId="71" fillId="0" borderId="6" xfId="2" applyNumberFormat="1" applyFont="1" applyFill="1" applyBorder="1" applyAlignment="1" applyProtection="1">
      <alignment horizontal="left"/>
    </xf>
    <xf numFmtId="49" fontId="71" fillId="20" borderId="55" xfId="0" applyNumberFormat="1" applyFont="1" applyFill="1" applyBorder="1"/>
    <xf numFmtId="49" fontId="71" fillId="20" borderId="23" xfId="0" applyNumberFormat="1" applyFont="1" applyFill="1" applyBorder="1"/>
    <xf numFmtId="49" fontId="71" fillId="20" borderId="54" xfId="0" applyNumberFormat="1" applyFont="1" applyFill="1" applyBorder="1"/>
    <xf numFmtId="49" fontId="71" fillId="20" borderId="31" xfId="2" applyNumberFormat="1" applyFont="1" applyFill="1" applyBorder="1" applyAlignment="1" applyProtection="1">
      <alignment horizontal="left"/>
    </xf>
    <xf numFmtId="49" fontId="71" fillId="20" borderId="18" xfId="2" applyNumberFormat="1" applyFont="1" applyFill="1" applyBorder="1" applyAlignment="1" applyProtection="1">
      <alignment horizontal="left"/>
    </xf>
    <xf numFmtId="49" fontId="71" fillId="0" borderId="31" xfId="0" applyNumberFormat="1" applyFont="1" applyBorder="1"/>
    <xf numFmtId="49" fontId="71" fillId="0" borderId="18" xfId="0" applyNumberFormat="1" applyFont="1" applyBorder="1"/>
    <xf numFmtId="49" fontId="71" fillId="0" borderId="30" xfId="0" applyNumberFormat="1" applyFont="1" applyBorder="1"/>
    <xf numFmtId="49" fontId="71" fillId="0" borderId="31" xfId="2" applyNumberFormat="1" applyFont="1" applyFill="1" applyBorder="1" applyAlignment="1" applyProtection="1">
      <alignment horizontal="left"/>
    </xf>
    <xf numFmtId="49" fontId="71" fillId="0" borderId="18" xfId="2" applyNumberFormat="1" applyFont="1" applyFill="1" applyBorder="1" applyAlignment="1" applyProtection="1">
      <alignment horizontal="left"/>
    </xf>
    <xf numFmtId="49" fontId="71" fillId="9" borderId="9" xfId="2" applyNumberFormat="1" applyFont="1" applyFill="1" applyBorder="1" applyAlignment="1" applyProtection="1">
      <alignment horizontal="left"/>
    </xf>
    <xf numFmtId="49" fontId="71" fillId="9" borderId="1" xfId="2" applyNumberFormat="1" applyFont="1" applyFill="1" applyBorder="1" applyAlignment="1" applyProtection="1">
      <alignment horizontal="left"/>
    </xf>
    <xf numFmtId="0" fontId="10" fillId="35" borderId="23" xfId="0" applyFont="1" applyFill="1" applyBorder="1" applyAlignment="1">
      <alignment horizontal="center"/>
    </xf>
    <xf numFmtId="3" fontId="10" fillId="35" borderId="19" xfId="0" applyNumberFormat="1" applyFont="1" applyFill="1" applyBorder="1" applyAlignment="1">
      <alignment horizontal="center"/>
    </xf>
    <xf numFmtId="3" fontId="10" fillId="35" borderId="59" xfId="0" applyNumberFormat="1" applyFont="1" applyFill="1" applyBorder="1" applyAlignment="1">
      <alignment horizontal="center"/>
    </xf>
    <xf numFmtId="169" fontId="4" fillId="36" borderId="19" xfId="0" applyNumberFormat="1" applyFont="1" applyFill="1" applyBorder="1" applyAlignment="1">
      <alignment horizontal="center"/>
    </xf>
    <xf numFmtId="169" fontId="4" fillId="36" borderId="59" xfId="0" applyNumberFormat="1" applyFont="1" applyFill="1" applyBorder="1" applyAlignment="1">
      <alignment horizontal="center"/>
    </xf>
    <xf numFmtId="1" fontId="4" fillId="0" borderId="12" xfId="0" applyNumberFormat="1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10" fillId="0" borderId="55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9" fillId="4" borderId="19" xfId="0" applyFont="1" applyFill="1" applyBorder="1" applyAlignment="1">
      <alignment horizontal="center"/>
    </xf>
    <xf numFmtId="0" fontId="9" fillId="4" borderId="59" xfId="0" applyFont="1" applyFill="1" applyBorder="1" applyAlignment="1">
      <alignment horizontal="center"/>
    </xf>
    <xf numFmtId="0" fontId="39" fillId="0" borderId="28" xfId="0" applyFont="1" applyBorder="1" applyAlignment="1">
      <alignment horizontal="right" vertical="center"/>
    </xf>
    <xf numFmtId="0" fontId="39" fillId="0" borderId="36" xfId="0" applyFont="1" applyBorder="1" applyAlignment="1">
      <alignment horizontal="right" vertical="center"/>
    </xf>
    <xf numFmtId="0" fontId="39" fillId="0" borderId="37" xfId="0" applyFont="1" applyBorder="1" applyAlignment="1">
      <alignment horizontal="right" vertical="center"/>
    </xf>
    <xf numFmtId="0" fontId="39" fillId="0" borderId="29" xfId="0" applyFont="1" applyBorder="1" applyAlignment="1">
      <alignment horizontal="right" vertical="center"/>
    </xf>
    <xf numFmtId="0" fontId="39" fillId="0" borderId="2" xfId="0" applyFont="1" applyBorder="1" applyAlignment="1">
      <alignment horizontal="right" vertical="center"/>
    </xf>
    <xf numFmtId="0" fontId="39" fillId="0" borderId="32" xfId="0" applyFont="1" applyBorder="1" applyAlignment="1">
      <alignment horizontal="right" vertical="center"/>
    </xf>
    <xf numFmtId="0" fontId="39" fillId="0" borderId="33" xfId="0" applyFont="1" applyBorder="1" applyAlignment="1">
      <alignment horizontal="right" vertical="center"/>
    </xf>
    <xf numFmtId="0" fontId="39" fillId="0" borderId="25" xfId="0" applyFont="1" applyBorder="1" applyAlignment="1">
      <alignment horizontal="right" vertical="center"/>
    </xf>
    <xf numFmtId="0" fontId="39" fillId="0" borderId="35" xfId="0" applyFont="1" applyBorder="1" applyAlignment="1">
      <alignment horizontal="right" vertical="center"/>
    </xf>
    <xf numFmtId="49" fontId="4" fillId="4" borderId="26" xfId="0" applyNumberFormat="1" applyFont="1" applyFill="1" applyBorder="1" applyAlignment="1">
      <alignment horizontal="left"/>
    </xf>
    <xf numFmtId="0" fontId="4" fillId="4" borderId="66" xfId="0" applyFont="1" applyFill="1" applyBorder="1" applyAlignment="1">
      <alignment horizontal="left"/>
    </xf>
    <xf numFmtId="0" fontId="9" fillId="0" borderId="67" xfId="0" applyFont="1" applyBorder="1" applyAlignment="1">
      <alignment horizontal="right"/>
    </xf>
    <xf numFmtId="169" fontId="4" fillId="0" borderId="19" xfId="0" applyNumberFormat="1" applyFont="1" applyBorder="1" applyAlignment="1">
      <alignment horizontal="center"/>
    </xf>
    <xf numFmtId="169" fontId="4" fillId="0" borderId="59" xfId="0" applyNumberFormat="1" applyFont="1" applyBorder="1" applyAlignment="1">
      <alignment horizontal="center"/>
    </xf>
    <xf numFmtId="1" fontId="4" fillId="36" borderId="19" xfId="0" applyNumberFormat="1" applyFont="1" applyFill="1" applyBorder="1" applyAlignment="1">
      <alignment horizontal="center"/>
    </xf>
    <xf numFmtId="0" fontId="4" fillId="36" borderId="59" xfId="0" applyFont="1" applyFill="1" applyBorder="1" applyAlignment="1">
      <alignment horizontal="center"/>
    </xf>
    <xf numFmtId="0" fontId="10" fillId="0" borderId="55" xfId="0" applyFont="1" applyBorder="1"/>
    <xf numFmtId="0" fontId="10" fillId="0" borderId="23" xfId="0" applyFont="1" applyBorder="1"/>
    <xf numFmtId="0" fontId="10" fillId="0" borderId="54" xfId="0" applyFont="1" applyBorder="1" applyAlignment="1">
      <alignment horizontal="center"/>
    </xf>
    <xf numFmtId="0" fontId="10" fillId="4" borderId="19" xfId="0" applyFont="1" applyFill="1" applyBorder="1" applyAlignment="1" applyProtection="1">
      <alignment horizontal="center"/>
      <protection locked="0"/>
    </xf>
    <xf numFmtId="0" fontId="10" fillId="4" borderId="13" xfId="0" applyFont="1" applyFill="1" applyBorder="1" applyAlignment="1" applyProtection="1">
      <alignment horizontal="center"/>
      <protection locked="0"/>
    </xf>
    <xf numFmtId="0" fontId="9" fillId="0" borderId="4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14" fillId="4" borderId="18" xfId="0" applyFont="1" applyFill="1" applyBorder="1" applyAlignment="1">
      <alignment horizontal="center"/>
    </xf>
    <xf numFmtId="0" fontId="14" fillId="4" borderId="95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4" fillId="4" borderId="50" xfId="0" applyFont="1" applyFill="1" applyBorder="1" applyAlignment="1">
      <alignment horizontal="center"/>
    </xf>
    <xf numFmtId="49" fontId="4" fillId="4" borderId="25" xfId="0" applyNumberFormat="1" applyFont="1" applyFill="1" applyBorder="1" applyAlignment="1">
      <alignment horizontal="left" vertical="center"/>
    </xf>
    <xf numFmtId="0" fontId="4" fillId="4" borderId="35" xfId="0" applyFont="1" applyFill="1" applyBorder="1" applyAlignment="1">
      <alignment horizontal="left" vertical="center"/>
    </xf>
    <xf numFmtId="0" fontId="9" fillId="0" borderId="37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49" fontId="9" fillId="0" borderId="19" xfId="0" applyNumberFormat="1" applyFont="1" applyBorder="1" applyAlignment="1">
      <alignment horizontal="center"/>
    </xf>
    <xf numFmtId="49" fontId="9" fillId="0" borderId="23" xfId="0" applyNumberFormat="1" applyFont="1" applyBorder="1" applyAlignment="1">
      <alignment horizontal="center"/>
    </xf>
    <xf numFmtId="49" fontId="9" fillId="0" borderId="59" xfId="0" applyNumberFormat="1" applyFont="1" applyBorder="1" applyAlignment="1">
      <alignment horizontal="center"/>
    </xf>
    <xf numFmtId="0" fontId="14" fillId="4" borderId="0" xfId="0" applyFont="1" applyFill="1" applyAlignment="1" applyProtection="1">
      <alignment horizontal="center"/>
      <protection locked="0"/>
    </xf>
    <xf numFmtId="0" fontId="4" fillId="4" borderId="29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4" borderId="32" xfId="0" applyFont="1" applyFill="1" applyBorder="1" applyAlignment="1">
      <alignment horizontal="left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39" fillId="0" borderId="67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24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39" fillId="0" borderId="52" xfId="0" applyFont="1" applyBorder="1" applyAlignment="1">
      <alignment horizontal="center" vertical="center"/>
    </xf>
    <xf numFmtId="169" fontId="4" fillId="0" borderId="11" xfId="0" applyNumberFormat="1" applyFont="1" applyBorder="1" applyAlignment="1">
      <alignment horizontal="center"/>
    </xf>
    <xf numFmtId="169" fontId="4" fillId="0" borderId="17" xfId="0" applyNumberFormat="1" applyFont="1" applyBorder="1" applyAlignment="1">
      <alignment horizontal="center"/>
    </xf>
    <xf numFmtId="3" fontId="4" fillId="0" borderId="23" xfId="0" applyNumberFormat="1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169" fontId="4" fillId="0" borderId="23" xfId="0" applyNumberFormat="1" applyFont="1" applyBorder="1" applyAlignment="1">
      <alignment horizontal="center" vertical="center"/>
    </xf>
    <xf numFmtId="169" fontId="4" fillId="0" borderId="59" xfId="0" applyNumberFormat="1" applyFont="1" applyBorder="1" applyAlignment="1">
      <alignment horizontal="center" vertical="center"/>
    </xf>
    <xf numFmtId="49" fontId="4" fillId="4" borderId="66" xfId="0" applyNumberFormat="1" applyFont="1" applyFill="1" applyBorder="1" applyAlignment="1">
      <alignment horizontal="left"/>
    </xf>
    <xf numFmtId="0" fontId="4" fillId="4" borderId="39" xfId="0" applyFont="1" applyFill="1" applyBorder="1" applyAlignment="1">
      <alignment horizontal="left"/>
    </xf>
    <xf numFmtId="0" fontId="4" fillId="4" borderId="21" xfId="0" applyFont="1" applyFill="1" applyBorder="1" applyAlignment="1">
      <alignment horizontal="left"/>
    </xf>
    <xf numFmtId="0" fontId="4" fillId="4" borderId="60" xfId="0" applyFont="1" applyFill="1" applyBorder="1" applyAlignment="1">
      <alignment horizontal="left"/>
    </xf>
    <xf numFmtId="169" fontId="4" fillId="0" borderId="25" xfId="0" applyNumberFormat="1" applyFont="1" applyBorder="1" applyAlignment="1">
      <alignment horizontal="center" vertical="center"/>
    </xf>
    <xf numFmtId="169" fontId="4" fillId="0" borderId="35" xfId="0" applyNumberFormat="1" applyFont="1" applyBorder="1" applyAlignment="1">
      <alignment horizontal="center" vertical="center"/>
    </xf>
    <xf numFmtId="0" fontId="4" fillId="4" borderId="38" xfId="0" applyFont="1" applyFill="1" applyBorder="1" applyAlignment="1" applyProtection="1">
      <alignment horizontal="left"/>
      <protection locked="0"/>
    </xf>
    <xf numFmtId="0" fontId="4" fillId="4" borderId="34" xfId="0" applyFont="1" applyFill="1" applyBorder="1" applyAlignment="1" applyProtection="1">
      <alignment horizontal="left"/>
      <protection locked="0"/>
    </xf>
    <xf numFmtId="0" fontId="4" fillId="4" borderId="12" xfId="0" applyFont="1" applyFill="1" applyBorder="1" applyAlignment="1">
      <alignment horizontal="left"/>
    </xf>
    <xf numFmtId="0" fontId="4" fillId="4" borderId="41" xfId="0" applyFont="1" applyFill="1" applyBorder="1" applyAlignment="1">
      <alignment horizontal="left"/>
    </xf>
    <xf numFmtId="0" fontId="9" fillId="4" borderId="26" xfId="0" applyFont="1" applyFill="1" applyBorder="1" applyAlignment="1">
      <alignment horizontal="right"/>
    </xf>
    <xf numFmtId="0" fontId="9" fillId="4" borderId="34" xfId="0" applyFont="1" applyFill="1" applyBorder="1" applyAlignment="1">
      <alignment horizontal="right"/>
    </xf>
    <xf numFmtId="0" fontId="4" fillId="4" borderId="66" xfId="0" applyFont="1" applyFill="1" applyBorder="1" applyAlignment="1" applyProtection="1">
      <alignment horizontal="left"/>
      <protection locked="0"/>
    </xf>
    <xf numFmtId="0" fontId="4" fillId="4" borderId="14" xfId="0" applyFont="1" applyFill="1" applyBorder="1" applyAlignment="1" applyProtection="1">
      <alignment horizontal="left"/>
      <protection locked="0"/>
    </xf>
    <xf numFmtId="3" fontId="4" fillId="0" borderId="2" xfId="0" applyNumberFormat="1" applyFont="1" applyBorder="1" applyAlignment="1">
      <alignment horizontal="center"/>
    </xf>
    <xf numFmtId="3" fontId="4" fillId="0" borderId="32" xfId="0" applyNumberFormat="1" applyFont="1" applyBorder="1" applyAlignment="1">
      <alignment horizontal="center"/>
    </xf>
    <xf numFmtId="0" fontId="48" fillId="21" borderId="23" xfId="0" applyFont="1" applyFill="1" applyBorder="1" applyAlignment="1">
      <alignment horizontal="center"/>
    </xf>
    <xf numFmtId="169" fontId="47" fillId="21" borderId="53" xfId="0" applyNumberFormat="1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/>
    </xf>
    <xf numFmtId="0" fontId="14" fillId="4" borderId="59" xfId="0" applyFont="1" applyFill="1" applyBorder="1" applyAlignment="1">
      <alignment horizontal="center"/>
    </xf>
    <xf numFmtId="0" fontId="14" fillId="4" borderId="23" xfId="0" applyFont="1" applyFill="1" applyBorder="1" applyAlignment="1" applyProtection="1">
      <alignment horizontal="center"/>
      <protection locked="0"/>
    </xf>
    <xf numFmtId="0" fontId="14" fillId="4" borderId="59" xfId="0" applyFont="1" applyFill="1" applyBorder="1" applyAlignment="1" applyProtection="1">
      <alignment horizontal="center"/>
      <protection locked="0"/>
    </xf>
    <xf numFmtId="44" fontId="10" fillId="0" borderId="31" xfId="2" applyFont="1" applyBorder="1" applyAlignment="1" applyProtection="1">
      <alignment horizontal="center" vertical="center"/>
    </xf>
    <xf numFmtId="44" fontId="10" fillId="0" borderId="30" xfId="2" applyFont="1" applyBorder="1" applyAlignment="1" applyProtection="1">
      <alignment horizontal="center" vertical="center"/>
    </xf>
    <xf numFmtId="169" fontId="47" fillId="9" borderId="26" xfId="2" applyNumberFormat="1" applyFont="1" applyFill="1" applyBorder="1" applyAlignment="1" applyProtection="1">
      <alignment horizontal="center" vertical="center"/>
    </xf>
    <xf numFmtId="169" fontId="47" fillId="9" borderId="27" xfId="2" applyNumberFormat="1" applyFont="1" applyFill="1" applyBorder="1" applyAlignment="1" applyProtection="1">
      <alignment horizontal="center" vertical="center"/>
    </xf>
    <xf numFmtId="49" fontId="72" fillId="9" borderId="26" xfId="0" applyNumberFormat="1" applyFont="1" applyFill="1" applyBorder="1"/>
    <xf numFmtId="49" fontId="72" fillId="9" borderId="27" xfId="0" applyNumberFormat="1" applyFont="1" applyFill="1" applyBorder="1"/>
    <xf numFmtId="0" fontId="14" fillId="4" borderId="19" xfId="0" applyFont="1" applyFill="1" applyBorder="1" applyAlignment="1">
      <alignment horizontal="right"/>
    </xf>
    <xf numFmtId="0" fontId="14" fillId="4" borderId="59" xfId="0" applyFont="1" applyFill="1" applyBorder="1" applyAlignment="1">
      <alignment horizontal="right"/>
    </xf>
    <xf numFmtId="0" fontId="39" fillId="0" borderId="5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4" fillId="4" borderId="93" xfId="0" applyFont="1" applyFill="1" applyBorder="1" applyAlignment="1" applyProtection="1">
      <alignment horizontal="left"/>
      <protection locked="0"/>
    </xf>
    <xf numFmtId="0" fontId="4" fillId="4" borderId="18" xfId="0" applyFont="1" applyFill="1" applyBorder="1" applyAlignment="1" applyProtection="1">
      <alignment horizontal="left"/>
      <protection locked="0"/>
    </xf>
    <xf numFmtId="0" fontId="4" fillId="4" borderId="95" xfId="0" applyFont="1" applyFill="1" applyBorder="1" applyAlignment="1" applyProtection="1">
      <alignment horizontal="left"/>
      <protection locked="0"/>
    </xf>
    <xf numFmtId="0" fontId="4" fillId="4" borderId="40" xfId="0" applyFont="1" applyFill="1" applyBorder="1" applyAlignment="1" applyProtection="1">
      <alignment horizontal="left"/>
      <protection locked="0"/>
    </xf>
    <xf numFmtId="169" fontId="4" fillId="0" borderId="36" xfId="0" applyNumberFormat="1" applyFont="1" applyBorder="1" applyAlignment="1">
      <alignment horizontal="center"/>
    </xf>
    <xf numFmtId="169" fontId="4" fillId="0" borderId="37" xfId="0" applyNumberFormat="1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9" fillId="0" borderId="29" xfId="0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169" fontId="21" fillId="4" borderId="5" xfId="0" applyNumberFormat="1" applyFont="1" applyFill="1" applyBorder="1" applyAlignment="1">
      <alignment horizontal="center"/>
    </xf>
    <xf numFmtId="169" fontId="21" fillId="4" borderId="7" xfId="0" applyNumberFormat="1" applyFont="1" applyFill="1" applyBorder="1" applyAlignment="1">
      <alignment horizontal="center"/>
    </xf>
    <xf numFmtId="0" fontId="21" fillId="21" borderId="55" xfId="0" applyFont="1" applyFill="1" applyBorder="1" applyAlignment="1">
      <alignment vertical="center"/>
    </xf>
    <xf numFmtId="0" fontId="21" fillId="21" borderId="54" xfId="0" applyFont="1" applyFill="1" applyBorder="1" applyAlignment="1">
      <alignment vertical="center"/>
    </xf>
    <xf numFmtId="49" fontId="22" fillId="0" borderId="55" xfId="0" applyNumberFormat="1" applyFont="1" applyBorder="1" applyAlignment="1">
      <alignment horizontal="center"/>
    </xf>
    <xf numFmtId="49" fontId="22" fillId="0" borderId="54" xfId="0" applyNumberFormat="1" applyFont="1" applyBorder="1" applyAlignment="1">
      <alignment horizontal="center"/>
    </xf>
    <xf numFmtId="169" fontId="21" fillId="9" borderId="16" xfId="0" applyNumberFormat="1" applyFont="1" applyFill="1" applyBorder="1" applyAlignment="1">
      <alignment horizontal="center"/>
    </xf>
    <xf numFmtId="169" fontId="21" fillId="9" borderId="15" xfId="0" applyNumberFormat="1" applyFont="1" applyFill="1" applyBorder="1" applyAlignment="1">
      <alignment horizontal="center"/>
    </xf>
    <xf numFmtId="169" fontId="21" fillId="4" borderId="16" xfId="0" applyNumberFormat="1" applyFont="1" applyFill="1" applyBorder="1" applyAlignment="1">
      <alignment horizontal="center"/>
    </xf>
    <xf numFmtId="169" fontId="21" fillId="4" borderId="15" xfId="0" applyNumberFormat="1" applyFont="1" applyFill="1" applyBorder="1" applyAlignment="1">
      <alignment horizontal="center"/>
    </xf>
    <xf numFmtId="169" fontId="21" fillId="0" borderId="16" xfId="0" applyNumberFormat="1" applyFont="1" applyBorder="1" applyAlignment="1">
      <alignment horizontal="center"/>
    </xf>
    <xf numFmtId="169" fontId="21" fillId="0" borderId="15" xfId="0" applyNumberFormat="1" applyFont="1" applyBorder="1" applyAlignment="1">
      <alignment horizontal="center"/>
    </xf>
    <xf numFmtId="169" fontId="21" fillId="4" borderId="2" xfId="2" applyNumberFormat="1" applyFont="1" applyFill="1" applyBorder="1" applyAlignment="1" applyProtection="1">
      <alignment horizontal="center" vertical="center"/>
    </xf>
    <xf numFmtId="169" fontId="21" fillId="9" borderId="9" xfId="0" applyNumberFormat="1" applyFont="1" applyFill="1" applyBorder="1" applyAlignment="1">
      <alignment horizontal="center"/>
    </xf>
    <xf numFmtId="169" fontId="21" fillId="9" borderId="4" xfId="0" applyNumberFormat="1" applyFont="1" applyFill="1" applyBorder="1" applyAlignment="1">
      <alignment horizontal="center"/>
    </xf>
    <xf numFmtId="0" fontId="4" fillId="4" borderId="50" xfId="0" applyFont="1" applyFill="1" applyBorder="1" applyAlignment="1" applyProtection="1">
      <alignment horizontal="left"/>
      <protection locked="0"/>
    </xf>
    <xf numFmtId="49" fontId="22" fillId="0" borderId="19" xfId="0" applyNumberFormat="1" applyFont="1" applyBorder="1" applyAlignment="1">
      <alignment horizontal="center"/>
    </xf>
    <xf numFmtId="49" fontId="22" fillId="0" borderId="23" xfId="0" applyNumberFormat="1" applyFont="1" applyBorder="1" applyAlignment="1">
      <alignment horizontal="center"/>
    </xf>
    <xf numFmtId="49" fontId="22" fillId="0" borderId="59" xfId="0" applyNumberFormat="1" applyFont="1" applyBorder="1" applyAlignment="1">
      <alignment horizontal="center"/>
    </xf>
    <xf numFmtId="49" fontId="4" fillId="4" borderId="51" xfId="0" applyNumberFormat="1" applyFont="1" applyFill="1" applyBorder="1" applyAlignment="1">
      <alignment horizontal="left"/>
    </xf>
    <xf numFmtId="0" fontId="9" fillId="0" borderId="39" xfId="0" applyFont="1" applyBorder="1" applyAlignment="1">
      <alignment horizontal="center"/>
    </xf>
    <xf numFmtId="0" fontId="9" fillId="0" borderId="60" xfId="0" applyFont="1" applyBorder="1" applyAlignment="1">
      <alignment horizontal="center"/>
    </xf>
    <xf numFmtId="0" fontId="9" fillId="0" borderId="32" xfId="0" applyFont="1" applyBorder="1" applyAlignment="1">
      <alignment horizontal="right"/>
    </xf>
    <xf numFmtId="0" fontId="9" fillId="0" borderId="35" xfId="0" applyFont="1" applyBorder="1" applyAlignment="1">
      <alignment horizontal="right"/>
    </xf>
    <xf numFmtId="0" fontId="18" fillId="4" borderId="11" xfId="0" applyFont="1" applyFill="1" applyBorder="1" applyAlignment="1">
      <alignment horizontal="center" vertical="center" wrapText="1"/>
    </xf>
    <xf numFmtId="0" fontId="18" fillId="4" borderId="13" xfId="0" applyFont="1" applyFill="1" applyBorder="1" applyAlignment="1">
      <alignment horizontal="center" vertical="center" wrapText="1"/>
    </xf>
    <xf numFmtId="49" fontId="4" fillId="4" borderId="93" xfId="0" applyNumberFormat="1" applyFont="1" applyFill="1" applyBorder="1" applyAlignment="1" applyProtection="1">
      <alignment horizontal="left"/>
      <protection locked="0"/>
    </xf>
    <xf numFmtId="169" fontId="4" fillId="0" borderId="4" xfId="0" applyNumberFormat="1" applyFont="1" applyBorder="1" applyAlignment="1">
      <alignment horizontal="center"/>
    </xf>
    <xf numFmtId="3" fontId="4" fillId="0" borderId="15" xfId="0" applyNumberFormat="1" applyFont="1" applyBorder="1" applyAlignment="1">
      <alignment horizontal="center"/>
    </xf>
    <xf numFmtId="0" fontId="9" fillId="4" borderId="13" xfId="0" applyFont="1" applyFill="1" applyBorder="1"/>
    <xf numFmtId="0" fontId="9" fillId="4" borderId="52" xfId="0" applyFont="1" applyFill="1" applyBorder="1"/>
    <xf numFmtId="0" fontId="4" fillId="4" borderId="66" xfId="0" quotePrefix="1" applyFont="1" applyFill="1" applyBorder="1" applyAlignment="1" applyProtection="1">
      <alignment horizontal="left"/>
      <protection locked="0"/>
    </xf>
    <xf numFmtId="0" fontId="9" fillId="4" borderId="33" xfId="0" applyFont="1" applyFill="1" applyBorder="1" applyAlignment="1" applyProtection="1">
      <alignment horizontal="center"/>
      <protection locked="0"/>
    </xf>
    <xf numFmtId="0" fontId="9" fillId="4" borderId="25" xfId="0" applyFont="1" applyFill="1" applyBorder="1" applyAlignment="1" applyProtection="1">
      <alignment horizontal="center"/>
      <protection locked="0"/>
    </xf>
    <xf numFmtId="0" fontId="9" fillId="4" borderId="35" xfId="0" applyFont="1" applyFill="1" applyBorder="1" applyAlignment="1" applyProtection="1">
      <alignment horizontal="center"/>
      <protection locked="0"/>
    </xf>
    <xf numFmtId="0" fontId="4" fillId="4" borderId="93" xfId="0" quotePrefix="1" applyFont="1" applyFill="1" applyBorder="1" applyAlignment="1" applyProtection="1">
      <alignment horizontal="left"/>
      <protection locked="0"/>
    </xf>
    <xf numFmtId="169" fontId="4" fillId="0" borderId="27" xfId="0" applyNumberFormat="1" applyFont="1" applyBorder="1" applyAlignment="1">
      <alignment horizontal="center"/>
    </xf>
    <xf numFmtId="169" fontId="4" fillId="0" borderId="35" xfId="0" applyNumberFormat="1" applyFont="1" applyBorder="1" applyAlignment="1">
      <alignment horizontal="center"/>
    </xf>
    <xf numFmtId="0" fontId="4" fillId="4" borderId="38" xfId="0" applyFont="1" applyFill="1" applyBorder="1" applyAlignment="1">
      <alignment horizontal="left"/>
    </xf>
    <xf numFmtId="0" fontId="4" fillId="4" borderId="27" xfId="0" applyFont="1" applyFill="1" applyBorder="1" applyAlignment="1">
      <alignment horizontal="left"/>
    </xf>
    <xf numFmtId="0" fontId="9" fillId="4" borderId="28" xfId="0" applyFont="1" applyFill="1" applyBorder="1" applyAlignment="1" applyProtection="1">
      <alignment horizontal="center"/>
      <protection locked="0"/>
    </xf>
    <xf numFmtId="0" fontId="9" fillId="4" borderId="36" xfId="0" applyFont="1" applyFill="1" applyBorder="1" applyAlignment="1" applyProtection="1">
      <alignment horizontal="center"/>
      <protection locked="0"/>
    </xf>
    <xf numFmtId="0" fontId="9" fillId="4" borderId="37" xfId="0" applyFont="1" applyFill="1" applyBorder="1" applyAlignment="1" applyProtection="1">
      <alignment horizontal="center"/>
      <protection locked="0"/>
    </xf>
    <xf numFmtId="0" fontId="9" fillId="4" borderId="10" xfId="0" applyFont="1" applyFill="1" applyBorder="1"/>
    <xf numFmtId="0" fontId="9" fillId="4" borderId="17" xfId="0" applyFont="1" applyFill="1" applyBorder="1"/>
    <xf numFmtId="0" fontId="9" fillId="22" borderId="44" xfId="0" applyFont="1" applyFill="1" applyBorder="1" applyAlignment="1">
      <alignment horizontal="center" wrapText="1"/>
    </xf>
    <xf numFmtId="0" fontId="9" fillId="22" borderId="107" xfId="0" applyFont="1" applyFill="1" applyBorder="1" applyAlignment="1">
      <alignment horizontal="center"/>
    </xf>
    <xf numFmtId="0" fontId="9" fillId="22" borderId="21" xfId="0" applyFont="1" applyFill="1" applyBorder="1" applyAlignment="1">
      <alignment horizontal="center"/>
    </xf>
    <xf numFmtId="0" fontId="9" fillId="6" borderId="13" xfId="0" applyFont="1" applyFill="1" applyBorder="1" applyAlignment="1">
      <alignment horizontal="center"/>
    </xf>
    <xf numFmtId="49" fontId="4" fillId="9" borderId="9" xfId="0" applyNumberFormat="1" applyFont="1" applyFill="1" applyBorder="1" applyAlignment="1">
      <alignment horizontal="left"/>
    </xf>
    <xf numFmtId="49" fontId="4" fillId="9" borderId="1" xfId="0" applyNumberFormat="1" applyFont="1" applyFill="1" applyBorder="1" applyAlignment="1">
      <alignment horizontal="left"/>
    </xf>
    <xf numFmtId="49" fontId="4" fillId="9" borderId="4" xfId="0" applyNumberFormat="1" applyFont="1" applyFill="1" applyBorder="1" applyAlignment="1">
      <alignment horizontal="left"/>
    </xf>
    <xf numFmtId="169" fontId="4" fillId="9" borderId="21" xfId="0" quotePrefix="1" applyNumberFormat="1" applyFont="1" applyFill="1" applyBorder="1" applyAlignment="1">
      <alignment horizontal="center" vertical="center"/>
    </xf>
    <xf numFmtId="169" fontId="4" fillId="9" borderId="21" xfId="0" applyNumberFormat="1" applyFont="1" applyFill="1" applyBorder="1" applyAlignment="1">
      <alignment horizontal="center" vertical="center"/>
    </xf>
    <xf numFmtId="49" fontId="4" fillId="0" borderId="16" xfId="0" applyNumberFormat="1" applyFont="1" applyBorder="1" applyAlignment="1">
      <alignment horizontal="left"/>
    </xf>
    <xf numFmtId="49" fontId="4" fillId="0" borderId="14" xfId="0" applyNumberFormat="1" applyFont="1" applyBorder="1" applyAlignment="1">
      <alignment horizontal="left"/>
    </xf>
    <xf numFmtId="49" fontId="4" fillId="0" borderId="15" xfId="0" applyNumberFormat="1" applyFont="1" applyBorder="1" applyAlignment="1">
      <alignment horizontal="left"/>
    </xf>
    <xf numFmtId="169" fontId="4" fillId="0" borderId="2" xfId="0" quotePrefix="1" applyNumberFormat="1" applyFont="1" applyBorder="1" applyAlignment="1">
      <alignment horizontal="center" vertical="center"/>
    </xf>
    <xf numFmtId="169" fontId="4" fillId="0" borderId="2" xfId="0" applyNumberFormat="1" applyFont="1" applyBorder="1" applyAlignment="1">
      <alignment horizontal="center" vertical="center"/>
    </xf>
    <xf numFmtId="49" fontId="4" fillId="0" borderId="16" xfId="0" applyNumberFormat="1" applyFont="1" applyBorder="1"/>
    <xf numFmtId="49" fontId="4" fillId="0" borderId="14" xfId="0" applyNumberFormat="1" applyFont="1" applyBorder="1"/>
    <xf numFmtId="49" fontId="4" fillId="0" borderId="15" xfId="0" applyNumberFormat="1" applyFont="1" applyBorder="1"/>
    <xf numFmtId="169" fontId="4" fillId="9" borderId="22" xfId="0" quotePrefix="1" applyNumberFormat="1" applyFont="1" applyFill="1" applyBorder="1" applyAlignment="1">
      <alignment horizontal="center" vertical="center"/>
    </xf>
    <xf numFmtId="169" fontId="4" fillId="9" borderId="22" xfId="0" applyNumberFormat="1" applyFont="1" applyFill="1" applyBorder="1" applyAlignment="1">
      <alignment horizontal="center" vertical="center"/>
    </xf>
    <xf numFmtId="49" fontId="4" fillId="9" borderId="5" xfId="0" applyNumberFormat="1" applyFont="1" applyFill="1" applyBorder="1" applyAlignment="1">
      <alignment horizontal="left"/>
    </xf>
    <xf numFmtId="49" fontId="4" fillId="9" borderId="6" xfId="0" applyNumberFormat="1" applyFont="1" applyFill="1" applyBorder="1" applyAlignment="1">
      <alignment horizontal="left"/>
    </xf>
    <xf numFmtId="49" fontId="4" fillId="9" borderId="7" xfId="0" applyNumberFormat="1" applyFont="1" applyFill="1" applyBorder="1" applyAlignment="1">
      <alignment horizontal="left"/>
    </xf>
    <xf numFmtId="169" fontId="4" fillId="9" borderId="2" xfId="0" quotePrefix="1" applyNumberFormat="1" applyFont="1" applyFill="1" applyBorder="1" applyAlignment="1">
      <alignment horizontal="center" vertical="center"/>
    </xf>
    <xf numFmtId="169" fontId="4" fillId="9" borderId="2" xfId="0" applyNumberFormat="1" applyFont="1" applyFill="1" applyBorder="1" applyAlignment="1">
      <alignment horizontal="center" vertical="center"/>
    </xf>
    <xf numFmtId="49" fontId="4" fillId="9" borderId="16" xfId="0" applyNumberFormat="1" applyFont="1" applyFill="1" applyBorder="1" applyAlignment="1">
      <alignment horizontal="left"/>
    </xf>
    <xf numFmtId="49" fontId="4" fillId="9" borderId="14" xfId="0" applyNumberFormat="1" applyFont="1" applyFill="1" applyBorder="1" applyAlignment="1">
      <alignment horizontal="left"/>
    </xf>
    <xf numFmtId="49" fontId="4" fillId="9" borderId="15" xfId="0" applyNumberFormat="1" applyFont="1" applyFill="1" applyBorder="1" applyAlignment="1">
      <alignment horizontal="left"/>
    </xf>
    <xf numFmtId="49" fontId="4" fillId="9" borderId="53" xfId="0" applyNumberFormat="1" applyFont="1" applyFill="1" applyBorder="1" applyAlignment="1">
      <alignment horizontal="left"/>
    </xf>
    <xf numFmtId="169" fontId="4" fillId="9" borderId="53" xfId="0" quotePrefix="1" applyNumberFormat="1" applyFont="1" applyFill="1" applyBorder="1" applyAlignment="1">
      <alignment horizontal="center" vertical="center"/>
    </xf>
    <xf numFmtId="49" fontId="10" fillId="0" borderId="55" xfId="0" applyNumberFormat="1" applyFont="1" applyBorder="1" applyAlignment="1">
      <alignment horizontal="center"/>
    </xf>
    <xf numFmtId="49" fontId="10" fillId="0" borderId="23" xfId="0" applyNumberFormat="1" applyFont="1" applyBorder="1" applyAlignment="1">
      <alignment horizontal="center"/>
    </xf>
    <xf numFmtId="49" fontId="10" fillId="0" borderId="54" xfId="0" applyNumberFormat="1" applyFont="1" applyBorder="1" applyAlignment="1">
      <alignment horizontal="center"/>
    </xf>
    <xf numFmtId="0" fontId="9" fillId="4" borderId="38" xfId="0" applyFont="1" applyFill="1" applyBorder="1" applyAlignment="1" applyProtection="1">
      <alignment horizontal="center"/>
      <protection locked="0"/>
    </xf>
    <xf numFmtId="0" fontId="9" fillId="4" borderId="50" xfId="0" applyFont="1" applyFill="1" applyBorder="1" applyAlignment="1" applyProtection="1">
      <alignment horizontal="center"/>
      <protection locked="0"/>
    </xf>
    <xf numFmtId="0" fontId="9" fillId="4" borderId="93" xfId="0" applyFont="1" applyFill="1" applyBorder="1" applyAlignment="1" applyProtection="1">
      <alignment horizontal="center"/>
      <protection locked="0"/>
    </xf>
    <xf numFmtId="0" fontId="9" fillId="4" borderId="95" xfId="0" applyFont="1" applyFill="1" applyBorder="1" applyAlignment="1" applyProtection="1">
      <alignment horizontal="center"/>
      <protection locked="0"/>
    </xf>
    <xf numFmtId="0" fontId="14" fillId="4" borderId="10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14" fillId="4" borderId="52" xfId="0" applyFont="1" applyFill="1" applyBorder="1" applyAlignment="1">
      <alignment horizontal="center"/>
    </xf>
    <xf numFmtId="169" fontId="4" fillId="0" borderId="23" xfId="0" applyNumberFormat="1" applyFont="1" applyBorder="1" applyAlignment="1">
      <alignment horizontal="center"/>
    </xf>
    <xf numFmtId="3" fontId="4" fillId="0" borderId="59" xfId="0" applyNumberFormat="1" applyFont="1" applyBorder="1" applyAlignment="1">
      <alignment horizontal="center"/>
    </xf>
    <xf numFmtId="49" fontId="4" fillId="4" borderId="31" xfId="0" applyNumberFormat="1" applyFont="1" applyFill="1" applyBorder="1" applyAlignment="1" applyProtection="1">
      <alignment horizontal="left"/>
      <protection locked="0"/>
    </xf>
    <xf numFmtId="49" fontId="4" fillId="4" borderId="16" xfId="0" applyNumberFormat="1" applyFont="1" applyFill="1" applyBorder="1" applyAlignment="1" applyProtection="1">
      <alignment horizontal="left"/>
      <protection locked="0"/>
    </xf>
    <xf numFmtId="49" fontId="22" fillId="21" borderId="13" xfId="0" applyNumberFormat="1" applyFont="1" applyFill="1" applyBorder="1" applyAlignment="1">
      <alignment horizontal="center"/>
    </xf>
    <xf numFmtId="49" fontId="22" fillId="21" borderId="41" xfId="0" applyNumberFormat="1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169" fontId="4" fillId="0" borderId="0" xfId="0" applyNumberFormat="1" applyFont="1" applyAlignment="1">
      <alignment horizontal="center"/>
    </xf>
    <xf numFmtId="0" fontId="9" fillId="0" borderId="23" xfId="0" applyFont="1" applyBorder="1" applyAlignment="1">
      <alignment horizontal="right"/>
    </xf>
    <xf numFmtId="0" fontId="9" fillId="4" borderId="41" xfId="0" applyFont="1" applyFill="1" applyBorder="1" applyAlignment="1">
      <alignment horizontal="right"/>
    </xf>
    <xf numFmtId="49" fontId="78" fillId="9" borderId="36" xfId="0" applyNumberFormat="1" applyFont="1" applyFill="1" applyBorder="1" applyAlignment="1">
      <alignment horizontal="left" vertical="center"/>
    </xf>
    <xf numFmtId="49" fontId="21" fillId="38" borderId="2" xfId="0" applyNumberFormat="1" applyFont="1" applyFill="1" applyBorder="1" applyAlignment="1">
      <alignment horizontal="left" vertical="center"/>
    </xf>
    <xf numFmtId="49" fontId="21" fillId="38" borderId="25" xfId="0" applyNumberFormat="1" applyFont="1" applyFill="1" applyBorder="1" applyAlignment="1">
      <alignment horizontal="left" vertical="center"/>
    </xf>
    <xf numFmtId="49" fontId="41" fillId="0" borderId="48" xfId="0" applyNumberFormat="1" applyFont="1" applyBorder="1" applyAlignment="1">
      <alignment horizontal="center" vertical="center"/>
    </xf>
    <xf numFmtId="49" fontId="41" fillId="0" borderId="47" xfId="0" applyNumberFormat="1" applyFont="1" applyBorder="1" applyAlignment="1">
      <alignment horizontal="center" vertical="center"/>
    </xf>
    <xf numFmtId="0" fontId="22" fillId="4" borderId="0" xfId="0" applyFont="1" applyFill="1" applyAlignment="1" applyProtection="1">
      <alignment horizontal="center"/>
      <protection locked="0"/>
    </xf>
    <xf numFmtId="0" fontId="9" fillId="4" borderId="12" xfId="0" applyFont="1" applyFill="1" applyBorder="1" applyAlignment="1">
      <alignment horizontal="right"/>
    </xf>
    <xf numFmtId="0" fontId="4" fillId="4" borderId="28" xfId="0" applyFont="1" applyFill="1" applyBorder="1" applyAlignment="1">
      <alignment horizontal="center"/>
    </xf>
    <xf numFmtId="0" fontId="4" fillId="4" borderId="36" xfId="0" applyFont="1" applyFill="1" applyBorder="1" applyAlignment="1">
      <alignment horizontal="center"/>
    </xf>
    <xf numFmtId="0" fontId="4" fillId="4" borderId="37" xfId="0" applyFont="1" applyFill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4" fillId="4" borderId="25" xfId="0" applyFont="1" applyFill="1" applyBorder="1" applyAlignment="1">
      <alignment horizontal="center"/>
    </xf>
    <xf numFmtId="0" fontId="4" fillId="4" borderId="35" xfId="0" applyFont="1" applyFill="1" applyBorder="1" applyAlignment="1">
      <alignment horizontal="center"/>
    </xf>
    <xf numFmtId="0" fontId="22" fillId="38" borderId="1" xfId="0" applyFont="1" applyFill="1" applyBorder="1" applyAlignment="1" applyProtection="1">
      <alignment horizontal="center"/>
      <protection locked="0"/>
    </xf>
    <xf numFmtId="0" fontId="10" fillId="14" borderId="10" xfId="0" applyFont="1" applyFill="1" applyBorder="1" applyAlignment="1">
      <alignment horizontal="left" wrapText="1"/>
    </xf>
    <xf numFmtId="0" fontId="10" fillId="14" borderId="17" xfId="0" applyFont="1" applyFill="1" applyBorder="1" applyAlignment="1">
      <alignment horizontal="left" wrapText="1"/>
    </xf>
    <xf numFmtId="0" fontId="10" fillId="14" borderId="67" xfId="0" applyFont="1" applyFill="1" applyBorder="1" applyAlignment="1">
      <alignment horizontal="left" wrapText="1"/>
    </xf>
    <xf numFmtId="0" fontId="10" fillId="14" borderId="24" xfId="0" applyFont="1" applyFill="1" applyBorder="1" applyAlignment="1">
      <alignment horizontal="left" wrapText="1"/>
    </xf>
    <xf numFmtId="0" fontId="10" fillId="14" borderId="12" xfId="0" applyFont="1" applyFill="1" applyBorder="1" applyAlignment="1">
      <alignment horizontal="left" wrapText="1"/>
    </xf>
    <xf numFmtId="0" fontId="10" fillId="14" borderId="13" xfId="0" applyFont="1" applyFill="1" applyBorder="1" applyAlignment="1">
      <alignment horizontal="left" wrapText="1"/>
    </xf>
    <xf numFmtId="0" fontId="38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8" fillId="0" borderId="67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0" fontId="38" fillId="0" borderId="52" xfId="0" applyFont="1" applyBorder="1" applyAlignment="1">
      <alignment horizontal="center" vertical="center"/>
    </xf>
    <xf numFmtId="0" fontId="4" fillId="4" borderId="64" xfId="0" applyFont="1" applyFill="1" applyBorder="1" applyAlignment="1" applyProtection="1">
      <alignment horizontal="left"/>
      <protection locked="0"/>
    </xf>
    <xf numFmtId="0" fontId="4" fillId="4" borderId="1" xfId="0" applyFont="1" applyFill="1" applyBorder="1" applyAlignment="1" applyProtection="1">
      <alignment horizontal="left"/>
      <protection locked="0"/>
    </xf>
    <xf numFmtId="49" fontId="4" fillId="4" borderId="64" xfId="0" applyNumberFormat="1" applyFont="1" applyFill="1" applyBorder="1" applyAlignment="1" applyProtection="1">
      <alignment horizontal="left"/>
      <protection locked="0"/>
    </xf>
    <xf numFmtId="0" fontId="4" fillId="4" borderId="96" xfId="0" applyFont="1" applyFill="1" applyBorder="1" applyAlignment="1" applyProtection="1">
      <alignment horizontal="left"/>
      <protection locked="0"/>
    </xf>
    <xf numFmtId="49" fontId="4" fillId="4" borderId="66" xfId="0" applyNumberFormat="1" applyFont="1" applyFill="1" applyBorder="1" applyAlignment="1" applyProtection="1">
      <alignment horizontal="left"/>
      <protection locked="0"/>
    </xf>
    <xf numFmtId="49" fontId="4" fillId="4" borderId="38" xfId="0" applyNumberFormat="1" applyFont="1" applyFill="1" applyBorder="1" applyAlignment="1" applyProtection="1">
      <alignment horizontal="left"/>
      <protection locked="0"/>
    </xf>
    <xf numFmtId="0" fontId="6" fillId="0" borderId="12" xfId="0" applyFont="1" applyBorder="1" applyProtection="1">
      <protection locked="0"/>
    </xf>
    <xf numFmtId="0" fontId="6" fillId="0" borderId="52" xfId="0" applyFont="1" applyBorder="1" applyProtection="1">
      <protection locked="0"/>
    </xf>
    <xf numFmtId="49" fontId="10" fillId="21" borderId="19" xfId="0" applyNumberFormat="1" applyFont="1" applyFill="1" applyBorder="1" applyAlignment="1">
      <alignment horizontal="left"/>
    </xf>
    <xf numFmtId="49" fontId="10" fillId="21" borderId="23" xfId="0" applyNumberFormat="1" applyFont="1" applyFill="1" applyBorder="1" applyAlignment="1">
      <alignment horizontal="left"/>
    </xf>
    <xf numFmtId="49" fontId="10" fillId="21" borderId="54" xfId="0" applyNumberFormat="1" applyFont="1" applyFill="1" applyBorder="1" applyAlignment="1">
      <alignment horizontal="left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169" fontId="10" fillId="0" borderId="2" xfId="0" applyNumberFormat="1" applyFont="1" applyBorder="1" applyProtection="1">
      <protection locked="0"/>
    </xf>
    <xf numFmtId="169" fontId="10" fillId="0" borderId="32" xfId="0" applyNumberFormat="1" applyFont="1" applyBorder="1" applyProtection="1">
      <protection locked="0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32" xfId="0" applyFont="1" applyBorder="1" applyAlignment="1" applyProtection="1">
      <alignment vertical="center"/>
      <protection locked="0"/>
    </xf>
    <xf numFmtId="49" fontId="6" fillId="9" borderId="2" xfId="0" applyNumberFormat="1" applyFont="1" applyFill="1" applyBorder="1" applyAlignment="1">
      <alignment horizontal="left"/>
    </xf>
    <xf numFmtId="49" fontId="6" fillId="0" borderId="2" xfId="0" applyNumberFormat="1" applyFont="1" applyBorder="1" applyAlignment="1">
      <alignment horizontal="left"/>
    </xf>
    <xf numFmtId="49" fontId="6" fillId="0" borderId="22" xfId="0" applyNumberFormat="1" applyFont="1" applyBorder="1" applyAlignment="1">
      <alignment horizontal="left"/>
    </xf>
    <xf numFmtId="49" fontId="6" fillId="9" borderId="22" xfId="0" applyNumberFormat="1" applyFont="1" applyFill="1" applyBorder="1" applyAlignment="1">
      <alignment horizontal="left"/>
    </xf>
    <xf numFmtId="49" fontId="6" fillId="9" borderId="21" xfId="0" applyNumberFormat="1" applyFont="1" applyFill="1" applyBorder="1" applyAlignment="1">
      <alignment horizontal="left"/>
    </xf>
    <xf numFmtId="0" fontId="25" fillId="0" borderId="44" xfId="0" applyFont="1" applyBorder="1"/>
    <xf numFmtId="0" fontId="25" fillId="0" borderId="94" xfId="0" applyFont="1" applyBorder="1"/>
    <xf numFmtId="0" fontId="6" fillId="0" borderId="2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1" fontId="4" fillId="0" borderId="20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169" fontId="4" fillId="0" borderId="20" xfId="0" applyNumberFormat="1" applyFont="1" applyBorder="1" applyAlignment="1">
      <alignment horizontal="center"/>
    </xf>
    <xf numFmtId="49" fontId="10" fillId="0" borderId="38" xfId="0" applyNumberFormat="1" applyFont="1" applyBorder="1" applyAlignment="1">
      <alignment horizontal="center"/>
    </xf>
    <xf numFmtId="49" fontId="10" fillId="0" borderId="34" xfId="0" applyNumberFormat="1" applyFont="1" applyBorder="1" applyAlignment="1">
      <alignment horizontal="center"/>
    </xf>
    <xf numFmtId="49" fontId="10" fillId="0" borderId="27" xfId="0" applyNumberFormat="1" applyFont="1" applyBorder="1" applyAlignment="1">
      <alignment horizontal="center"/>
    </xf>
    <xf numFmtId="0" fontId="22" fillId="14" borderId="10" xfId="0" applyFont="1" applyFill="1" applyBorder="1" applyAlignment="1">
      <alignment horizontal="center"/>
    </xf>
    <xf numFmtId="0" fontId="22" fillId="14" borderId="11" xfId="0" applyFont="1" applyFill="1" applyBorder="1" applyAlignment="1">
      <alignment horizontal="center"/>
    </xf>
    <xf numFmtId="0" fontId="22" fillId="14" borderId="17" xfId="0" applyFont="1" applyFill="1" applyBorder="1" applyAlignment="1">
      <alignment horizontal="center"/>
    </xf>
    <xf numFmtId="0" fontId="22" fillId="14" borderId="12" xfId="0" applyFont="1" applyFill="1" applyBorder="1" applyAlignment="1">
      <alignment horizontal="center"/>
    </xf>
    <xf numFmtId="0" fontId="22" fillId="14" borderId="13" xfId="0" applyFont="1" applyFill="1" applyBorder="1" applyAlignment="1">
      <alignment horizontal="center"/>
    </xf>
    <xf numFmtId="0" fontId="22" fillId="14" borderId="52" xfId="0" applyFont="1" applyFill="1" applyBorder="1" applyAlignment="1">
      <alignment horizontal="center"/>
    </xf>
    <xf numFmtId="1" fontId="6" fillId="0" borderId="2" xfId="0" applyNumberFormat="1" applyFont="1" applyBorder="1" applyAlignment="1" applyProtection="1">
      <alignment horizontal="center"/>
      <protection locked="0"/>
    </xf>
    <xf numFmtId="1" fontId="6" fillId="0" borderId="2" xfId="2" applyNumberFormat="1" applyFont="1" applyFill="1" applyBorder="1" applyAlignment="1" applyProtection="1">
      <alignment horizontal="center"/>
      <protection locked="0"/>
    </xf>
    <xf numFmtId="1" fontId="6" fillId="34" borderId="16" xfId="2" applyNumberFormat="1" applyFont="1" applyFill="1" applyBorder="1" applyAlignment="1" applyProtection="1">
      <alignment horizontal="center"/>
    </xf>
    <xf numFmtId="1" fontId="6" fillId="34" borderId="14" xfId="2" applyNumberFormat="1" applyFont="1" applyFill="1" applyBorder="1" applyAlignment="1" applyProtection="1">
      <alignment horizontal="center"/>
    </xf>
    <xf numFmtId="1" fontId="6" fillId="34" borderId="15" xfId="2" applyNumberFormat="1" applyFont="1" applyFill="1" applyBorder="1" applyAlignment="1" applyProtection="1">
      <alignment horizontal="center"/>
    </xf>
    <xf numFmtId="169" fontId="6" fillId="0" borderId="16" xfId="0" applyNumberFormat="1" applyFont="1" applyBorder="1" applyAlignment="1">
      <alignment horizontal="center"/>
    </xf>
    <xf numFmtId="169" fontId="6" fillId="0" borderId="14" xfId="0" applyNumberFormat="1" applyFont="1" applyBorder="1" applyAlignment="1">
      <alignment horizontal="center"/>
    </xf>
    <xf numFmtId="169" fontId="6" fillId="0" borderId="15" xfId="0" applyNumberFormat="1" applyFont="1" applyBorder="1" applyAlignment="1">
      <alignment horizontal="center"/>
    </xf>
    <xf numFmtId="1" fontId="6" fillId="34" borderId="2" xfId="0" applyNumberFormat="1" applyFont="1" applyFill="1" applyBorder="1" applyAlignment="1">
      <alignment horizontal="center"/>
    </xf>
    <xf numFmtId="169" fontId="6" fillId="34" borderId="16" xfId="0" applyNumberFormat="1" applyFont="1" applyFill="1" applyBorder="1" applyAlignment="1">
      <alignment horizontal="center"/>
    </xf>
    <xf numFmtId="169" fontId="6" fillId="34" borderId="14" xfId="0" applyNumberFormat="1" applyFont="1" applyFill="1" applyBorder="1" applyAlignment="1">
      <alignment horizontal="center"/>
    </xf>
    <xf numFmtId="169" fontId="6" fillId="34" borderId="15" xfId="0" applyNumberFormat="1" applyFont="1" applyFill="1" applyBorder="1" applyAlignment="1">
      <alignment horizontal="center"/>
    </xf>
    <xf numFmtId="1" fontId="6" fillId="9" borderId="2" xfId="0" applyNumberFormat="1" applyFont="1" applyFill="1" applyBorder="1" applyAlignment="1" applyProtection="1">
      <alignment horizontal="center"/>
      <protection locked="0"/>
    </xf>
    <xf numFmtId="1" fontId="6" fillId="9" borderId="2" xfId="2" applyNumberFormat="1" applyFont="1" applyFill="1" applyBorder="1" applyAlignment="1" applyProtection="1">
      <alignment horizontal="center" vertical="center"/>
      <protection locked="0"/>
    </xf>
    <xf numFmtId="169" fontId="6" fillId="9" borderId="16" xfId="0" applyNumberFormat="1" applyFont="1" applyFill="1" applyBorder="1" applyAlignment="1">
      <alignment horizontal="center"/>
    </xf>
    <xf numFmtId="169" fontId="6" fillId="9" borderId="14" xfId="0" applyNumberFormat="1" applyFont="1" applyFill="1" applyBorder="1" applyAlignment="1">
      <alignment horizontal="center"/>
    </xf>
    <xf numFmtId="169" fontId="6" fillId="9" borderId="15" xfId="0" applyNumberFormat="1" applyFont="1" applyFill="1" applyBorder="1" applyAlignment="1">
      <alignment horizontal="center"/>
    </xf>
    <xf numFmtId="49" fontId="10" fillId="0" borderId="31" xfId="0" applyNumberFormat="1" applyFont="1" applyBorder="1" applyAlignment="1">
      <alignment horizontal="center"/>
    </xf>
    <xf numFmtId="49" fontId="10" fillId="0" borderId="18" xfId="0" applyNumberFormat="1" applyFont="1" applyBorder="1" applyAlignment="1">
      <alignment horizontal="center"/>
    </xf>
    <xf numFmtId="49" fontId="10" fillId="0" borderId="30" xfId="0" applyNumberFormat="1" applyFont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14" fillId="4" borderId="19" xfId="0" applyFont="1" applyFill="1" applyBorder="1" applyAlignment="1" applyProtection="1">
      <alignment horizontal="center"/>
      <protection locked="0"/>
    </xf>
    <xf numFmtId="49" fontId="10" fillId="0" borderId="48" xfId="0" applyNumberFormat="1" applyFont="1" applyBorder="1" applyAlignment="1">
      <alignment horizontal="center"/>
    </xf>
    <xf numFmtId="49" fontId="10" fillId="0" borderId="11" xfId="0" applyNumberFormat="1" applyFont="1" applyBorder="1" applyAlignment="1">
      <alignment horizontal="center"/>
    </xf>
    <xf numFmtId="49" fontId="10" fillId="0" borderId="47" xfId="0" applyNumberFormat="1" applyFont="1" applyBorder="1" applyAlignment="1">
      <alignment horizontal="center"/>
    </xf>
    <xf numFmtId="0" fontId="10" fillId="0" borderId="48" xfId="0" quotePrefix="1" applyFont="1" applyBorder="1" applyAlignment="1">
      <alignment horizontal="center"/>
    </xf>
    <xf numFmtId="0" fontId="10" fillId="0" borderId="11" xfId="0" quotePrefix="1" applyFont="1" applyBorder="1" applyAlignment="1">
      <alignment horizontal="center"/>
    </xf>
    <xf numFmtId="0" fontId="10" fillId="0" borderId="47" xfId="0" quotePrefix="1" applyFont="1" applyBorder="1" applyAlignment="1">
      <alignment horizontal="center"/>
    </xf>
    <xf numFmtId="49" fontId="4" fillId="4" borderId="39" xfId="0" applyNumberFormat="1" applyFont="1" applyFill="1" applyBorder="1" applyAlignment="1" applyProtection="1">
      <alignment horizontal="left"/>
      <protection locked="0"/>
    </xf>
    <xf numFmtId="0" fontId="4" fillId="4" borderId="9" xfId="0" applyFont="1" applyFill="1" applyBorder="1" applyAlignment="1" applyProtection="1">
      <alignment horizontal="left"/>
      <protection locked="0"/>
    </xf>
    <xf numFmtId="49" fontId="4" fillId="4" borderId="29" xfId="0" applyNumberFormat="1" applyFont="1" applyFill="1" applyBorder="1" applyAlignment="1" applyProtection="1">
      <alignment horizontal="left"/>
      <protection locked="0"/>
    </xf>
    <xf numFmtId="0" fontId="4" fillId="4" borderId="16" xfId="0" applyFont="1" applyFill="1" applyBorder="1" applyAlignment="1" applyProtection="1">
      <alignment horizontal="left"/>
      <protection locked="0"/>
    </xf>
    <xf numFmtId="49" fontId="4" fillId="4" borderId="33" xfId="0" applyNumberFormat="1" applyFont="1" applyFill="1" applyBorder="1" applyAlignment="1" applyProtection="1">
      <alignment horizontal="left"/>
      <protection locked="0"/>
    </xf>
    <xf numFmtId="0" fontId="4" fillId="4" borderId="26" xfId="0" applyFont="1" applyFill="1" applyBorder="1" applyAlignment="1" applyProtection="1">
      <alignment horizontal="left"/>
      <protection locked="0"/>
    </xf>
    <xf numFmtId="0" fontId="3" fillId="0" borderId="0" xfId="3" applyAlignment="1">
      <alignment horizontal="center"/>
    </xf>
    <xf numFmtId="0" fontId="3" fillId="0" borderId="1" xfId="3" applyBorder="1" applyAlignment="1">
      <alignment horizontal="center"/>
    </xf>
    <xf numFmtId="0" fontId="3" fillId="0" borderId="6" xfId="3" applyBorder="1" applyAlignment="1">
      <alignment horizontal="center" vertical="center"/>
    </xf>
    <xf numFmtId="0" fontId="3" fillId="0" borderId="0" xfId="3" applyAlignment="1">
      <alignment horizontal="center" vertical="center"/>
    </xf>
    <xf numFmtId="0" fontId="3" fillId="0" borderId="1" xfId="3" applyBorder="1" applyAlignment="1">
      <alignment horizontal="center" vertical="center"/>
    </xf>
    <xf numFmtId="0" fontId="3" fillId="0" borderId="6" xfId="3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3" xr:uid="{00000000-0005-0000-0000-000003000000}"/>
    <cellStyle name="Normal 2 2" xfId="7" xr:uid="{AC5FF9E8-15D7-48D2-BBF9-EF954EAEC29C}"/>
    <cellStyle name="Normal 2 3" xfId="5" xr:uid="{67F03941-2A96-446F-8223-0AE15E0F15ED}"/>
    <cellStyle name="Normal 3" xfId="6" xr:uid="{372AD54A-E43D-476B-918C-E00A0D89B693}"/>
    <cellStyle name="Normal 4" xfId="4" xr:uid="{99D146B6-02C5-445C-8C6E-9E6626B0817E}"/>
  </cellStyles>
  <dxfs count="0"/>
  <tableStyles count="0" defaultTableStyle="TableStyleMedium9" defaultPivotStyle="PivotStyleLight16"/>
  <colors>
    <mruColors>
      <color rgb="FFA20000"/>
      <color rgb="FFFFE67D"/>
      <color rgb="FFC9C9C9"/>
      <color rgb="FFD0CAAC"/>
      <color rgb="FFF1F709"/>
      <color rgb="FFBFBFBF"/>
      <color rgb="FFB4B4B4"/>
      <color rgb="FFFFFF99"/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67188</xdr:colOff>
      <xdr:row>3</xdr:row>
      <xdr:rowOff>48113</xdr:rowOff>
    </xdr:from>
    <xdr:to>
      <xdr:col>23</xdr:col>
      <xdr:colOff>347243</xdr:colOff>
      <xdr:row>3</xdr:row>
      <xdr:rowOff>127897</xdr:rowOff>
    </xdr:to>
    <xdr:sp macro="" textlink="">
      <xdr:nvSpPr>
        <xdr:cNvPr id="3" name="Arrow: Lef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12185105" y="651363"/>
          <a:ext cx="280055" cy="79784"/>
        </a:xfrm>
        <a:prstGeom prst="leftArrow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7EB95655-9F5C-4A65-B4B6-FF9A2247873E}"/>
            </a:ext>
          </a:extLst>
        </xdr:cNvPr>
        <xdr:cNvSpPr/>
      </xdr:nvSpPr>
      <xdr:spPr bwMode="auto">
        <a:xfrm>
          <a:off x="15035893" y="1292679"/>
          <a:ext cx="340178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67188</xdr:colOff>
      <xdr:row>3</xdr:row>
      <xdr:rowOff>48113</xdr:rowOff>
    </xdr:from>
    <xdr:to>
      <xdr:col>23</xdr:col>
      <xdr:colOff>347243</xdr:colOff>
      <xdr:row>3</xdr:row>
      <xdr:rowOff>127897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50E8C53-FD15-4770-8431-C9B84A0DC4C9}"/>
            </a:ext>
          </a:extLst>
        </xdr:cNvPr>
        <xdr:cNvSpPr/>
      </xdr:nvSpPr>
      <xdr:spPr bwMode="auto">
        <a:xfrm>
          <a:off x="12354438" y="791063"/>
          <a:ext cx="280055" cy="79784"/>
        </a:xfrm>
        <a:prstGeom prst="leftArrow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16A19528-B9C6-4D49-9E75-DFF92F53D4E1}"/>
            </a:ext>
          </a:extLst>
        </xdr:cNvPr>
        <xdr:cNvSpPr/>
      </xdr:nvSpPr>
      <xdr:spPr bwMode="auto">
        <a:xfrm>
          <a:off x="15186932" y="1439636"/>
          <a:ext cx="344260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67188</xdr:colOff>
      <xdr:row>3</xdr:row>
      <xdr:rowOff>48113</xdr:rowOff>
    </xdr:from>
    <xdr:to>
      <xdr:col>23</xdr:col>
      <xdr:colOff>347243</xdr:colOff>
      <xdr:row>3</xdr:row>
      <xdr:rowOff>127897</xdr:rowOff>
    </xdr:to>
    <xdr:sp macro="" textlink="">
      <xdr:nvSpPr>
        <xdr:cNvPr id="8" name="Arrow: Left 1">
          <a:extLst>
            <a:ext uri="{FF2B5EF4-FFF2-40B4-BE49-F238E27FC236}">
              <a16:creationId xmlns:a16="http://schemas.microsoft.com/office/drawing/2014/main" id="{A184117B-4E3A-46E0-A583-F4EB8935F954}"/>
            </a:ext>
          </a:extLst>
        </xdr:cNvPr>
        <xdr:cNvSpPr/>
      </xdr:nvSpPr>
      <xdr:spPr bwMode="auto">
        <a:xfrm>
          <a:off x="12354438" y="714863"/>
          <a:ext cx="280055" cy="79784"/>
        </a:xfrm>
        <a:prstGeom prst="leftArrow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3851DFB9-3B2E-4F8E-B1F7-B580900705BF}"/>
            </a:ext>
          </a:extLst>
        </xdr:cNvPr>
        <xdr:cNvSpPr/>
      </xdr:nvSpPr>
      <xdr:spPr bwMode="auto">
        <a:xfrm>
          <a:off x="15186932" y="1334861"/>
          <a:ext cx="344260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67188</xdr:colOff>
      <xdr:row>3</xdr:row>
      <xdr:rowOff>48113</xdr:rowOff>
    </xdr:from>
    <xdr:to>
      <xdr:col>23</xdr:col>
      <xdr:colOff>347243</xdr:colOff>
      <xdr:row>3</xdr:row>
      <xdr:rowOff>127897</xdr:rowOff>
    </xdr:to>
    <xdr:sp macro="" textlink="">
      <xdr:nvSpPr>
        <xdr:cNvPr id="21" name="Arrow: Left 1">
          <a:extLst>
            <a:ext uri="{FF2B5EF4-FFF2-40B4-BE49-F238E27FC236}">
              <a16:creationId xmlns:a16="http://schemas.microsoft.com/office/drawing/2014/main" id="{A89C2D35-334D-42CB-82E8-798DF62C35F9}"/>
            </a:ext>
          </a:extLst>
        </xdr:cNvPr>
        <xdr:cNvSpPr/>
      </xdr:nvSpPr>
      <xdr:spPr bwMode="auto">
        <a:xfrm>
          <a:off x="12354438" y="714863"/>
          <a:ext cx="280055" cy="79784"/>
        </a:xfrm>
        <a:prstGeom prst="leftArrow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22" name="Arrow: Right 21">
          <a:extLst>
            <a:ext uri="{FF2B5EF4-FFF2-40B4-BE49-F238E27FC236}">
              <a16:creationId xmlns:a16="http://schemas.microsoft.com/office/drawing/2014/main" id="{DDA32701-ABAF-4ADA-8B88-0923C87676FD}"/>
            </a:ext>
          </a:extLst>
        </xdr:cNvPr>
        <xdr:cNvSpPr/>
      </xdr:nvSpPr>
      <xdr:spPr bwMode="auto">
        <a:xfrm>
          <a:off x="15186932" y="1334861"/>
          <a:ext cx="344260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67188</xdr:colOff>
      <xdr:row>3</xdr:row>
      <xdr:rowOff>48113</xdr:rowOff>
    </xdr:from>
    <xdr:to>
      <xdr:col>23</xdr:col>
      <xdr:colOff>347243</xdr:colOff>
      <xdr:row>3</xdr:row>
      <xdr:rowOff>127897</xdr:rowOff>
    </xdr:to>
    <xdr:sp macro="" textlink="">
      <xdr:nvSpPr>
        <xdr:cNvPr id="6" name="Arrow: Left 1">
          <a:extLst>
            <a:ext uri="{FF2B5EF4-FFF2-40B4-BE49-F238E27FC236}">
              <a16:creationId xmlns:a16="http://schemas.microsoft.com/office/drawing/2014/main" id="{2D348466-168D-41BA-A2B7-D818BF88B792}"/>
            </a:ext>
          </a:extLst>
        </xdr:cNvPr>
        <xdr:cNvSpPr/>
      </xdr:nvSpPr>
      <xdr:spPr bwMode="auto">
        <a:xfrm>
          <a:off x="12354438" y="695813"/>
          <a:ext cx="280055" cy="79784"/>
        </a:xfrm>
        <a:prstGeom prst="leftArrow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BC579963-A22F-4657-B392-D30B5E3796F8}"/>
            </a:ext>
          </a:extLst>
        </xdr:cNvPr>
        <xdr:cNvSpPr/>
      </xdr:nvSpPr>
      <xdr:spPr bwMode="auto">
        <a:xfrm>
          <a:off x="15186932" y="1315811"/>
          <a:ext cx="344260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297655</xdr:colOff>
      <xdr:row>4</xdr:row>
      <xdr:rowOff>178594</xdr:rowOff>
    </xdr:from>
    <xdr:to>
      <xdr:col>2</xdr:col>
      <xdr:colOff>546430</xdr:colOff>
      <xdr:row>7</xdr:row>
      <xdr:rowOff>178593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3DCFE8D-9CF9-40B3-A3B2-9C2002144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655" y="1035844"/>
          <a:ext cx="3224256" cy="607218"/>
        </a:xfrm>
        <a:prstGeom prst="rect">
          <a:avLst/>
        </a:prstGeom>
      </xdr:spPr>
    </xdr:pic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CF96DD92-D050-44CE-B8A7-0484475FA2AC}"/>
            </a:ext>
          </a:extLst>
        </xdr:cNvPr>
        <xdr:cNvSpPr/>
      </xdr:nvSpPr>
      <xdr:spPr bwMode="auto">
        <a:xfrm>
          <a:off x="15186932" y="1315811"/>
          <a:ext cx="344260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17" name="Arrow: Right 16">
          <a:extLst>
            <a:ext uri="{FF2B5EF4-FFF2-40B4-BE49-F238E27FC236}">
              <a16:creationId xmlns:a16="http://schemas.microsoft.com/office/drawing/2014/main" id="{9D71DE6D-24FC-46D8-A6FF-CA0427CFC5B5}"/>
            </a:ext>
          </a:extLst>
        </xdr:cNvPr>
        <xdr:cNvSpPr/>
      </xdr:nvSpPr>
      <xdr:spPr bwMode="auto">
        <a:xfrm>
          <a:off x="15186932" y="1315811"/>
          <a:ext cx="344260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18" name="Arrow: Right 17">
          <a:extLst>
            <a:ext uri="{FF2B5EF4-FFF2-40B4-BE49-F238E27FC236}">
              <a16:creationId xmlns:a16="http://schemas.microsoft.com/office/drawing/2014/main" id="{6A799CEA-B43C-4B3F-9B77-4E025E6D2EE5}"/>
            </a:ext>
          </a:extLst>
        </xdr:cNvPr>
        <xdr:cNvSpPr/>
      </xdr:nvSpPr>
      <xdr:spPr bwMode="auto">
        <a:xfrm>
          <a:off x="15186932" y="1315811"/>
          <a:ext cx="344260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19" name="Arrow: Right 18">
          <a:extLst>
            <a:ext uri="{FF2B5EF4-FFF2-40B4-BE49-F238E27FC236}">
              <a16:creationId xmlns:a16="http://schemas.microsoft.com/office/drawing/2014/main" id="{8BB73DBB-5ACA-45B5-B8B3-AE6AEBED3A15}"/>
            </a:ext>
          </a:extLst>
        </xdr:cNvPr>
        <xdr:cNvSpPr/>
      </xdr:nvSpPr>
      <xdr:spPr bwMode="auto">
        <a:xfrm>
          <a:off x="15186932" y="1315811"/>
          <a:ext cx="344260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20" name="Arrow: Right 19">
          <a:extLst>
            <a:ext uri="{FF2B5EF4-FFF2-40B4-BE49-F238E27FC236}">
              <a16:creationId xmlns:a16="http://schemas.microsoft.com/office/drawing/2014/main" id="{C718932E-7FBE-4CBC-B7C7-7842E3F5BA03}"/>
            </a:ext>
          </a:extLst>
        </xdr:cNvPr>
        <xdr:cNvSpPr/>
      </xdr:nvSpPr>
      <xdr:spPr bwMode="auto">
        <a:xfrm>
          <a:off x="15186932" y="1315811"/>
          <a:ext cx="344260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67188</xdr:colOff>
      <xdr:row>3</xdr:row>
      <xdr:rowOff>48113</xdr:rowOff>
    </xdr:from>
    <xdr:to>
      <xdr:col>23</xdr:col>
      <xdr:colOff>347243</xdr:colOff>
      <xdr:row>3</xdr:row>
      <xdr:rowOff>127897</xdr:rowOff>
    </xdr:to>
    <xdr:sp macro="" textlink="">
      <xdr:nvSpPr>
        <xdr:cNvPr id="10" name="Arrow: Left 1">
          <a:extLst>
            <a:ext uri="{FF2B5EF4-FFF2-40B4-BE49-F238E27FC236}">
              <a16:creationId xmlns:a16="http://schemas.microsoft.com/office/drawing/2014/main" id="{4D9E617B-D460-4FB5-83C1-931A24956611}"/>
            </a:ext>
          </a:extLst>
        </xdr:cNvPr>
        <xdr:cNvSpPr/>
      </xdr:nvSpPr>
      <xdr:spPr bwMode="auto">
        <a:xfrm>
          <a:off x="12678288" y="688193"/>
          <a:ext cx="280055" cy="79784"/>
        </a:xfrm>
        <a:prstGeom prst="leftArrow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DC794B3A-DFB3-49F3-9D9E-F1B14890B108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67188</xdr:colOff>
      <xdr:row>3</xdr:row>
      <xdr:rowOff>48113</xdr:rowOff>
    </xdr:from>
    <xdr:to>
      <xdr:col>23</xdr:col>
      <xdr:colOff>347243</xdr:colOff>
      <xdr:row>3</xdr:row>
      <xdr:rowOff>127897</xdr:rowOff>
    </xdr:to>
    <xdr:sp macro="" textlink="">
      <xdr:nvSpPr>
        <xdr:cNvPr id="13" name="Arrow: Left 12">
          <a:extLst>
            <a:ext uri="{FF2B5EF4-FFF2-40B4-BE49-F238E27FC236}">
              <a16:creationId xmlns:a16="http://schemas.microsoft.com/office/drawing/2014/main" id="{F9764C96-3C7C-4E60-8011-3B3D291C3EBD}"/>
            </a:ext>
          </a:extLst>
        </xdr:cNvPr>
        <xdr:cNvSpPr/>
      </xdr:nvSpPr>
      <xdr:spPr bwMode="auto">
        <a:xfrm>
          <a:off x="12678288" y="688193"/>
          <a:ext cx="280055" cy="79784"/>
        </a:xfrm>
        <a:prstGeom prst="leftArrow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1DC4E71A-53FB-4E3F-B422-AA21A2DDCC08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67188</xdr:colOff>
      <xdr:row>3</xdr:row>
      <xdr:rowOff>48113</xdr:rowOff>
    </xdr:from>
    <xdr:to>
      <xdr:col>23</xdr:col>
      <xdr:colOff>347243</xdr:colOff>
      <xdr:row>3</xdr:row>
      <xdr:rowOff>127897</xdr:rowOff>
    </xdr:to>
    <xdr:sp macro="" textlink="">
      <xdr:nvSpPr>
        <xdr:cNvPr id="15" name="Arrow: Left 1">
          <a:extLst>
            <a:ext uri="{FF2B5EF4-FFF2-40B4-BE49-F238E27FC236}">
              <a16:creationId xmlns:a16="http://schemas.microsoft.com/office/drawing/2014/main" id="{902F2B97-8D0D-4BC5-9A9A-E624697010F4}"/>
            </a:ext>
          </a:extLst>
        </xdr:cNvPr>
        <xdr:cNvSpPr/>
      </xdr:nvSpPr>
      <xdr:spPr bwMode="auto">
        <a:xfrm>
          <a:off x="12678288" y="688193"/>
          <a:ext cx="280055" cy="79784"/>
        </a:xfrm>
        <a:prstGeom prst="leftArrow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23" name="Arrow: Right 22">
          <a:extLst>
            <a:ext uri="{FF2B5EF4-FFF2-40B4-BE49-F238E27FC236}">
              <a16:creationId xmlns:a16="http://schemas.microsoft.com/office/drawing/2014/main" id="{A7FDC3C3-6D3E-4BC2-89C2-D32FCD89E642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67188</xdr:colOff>
      <xdr:row>3</xdr:row>
      <xdr:rowOff>48113</xdr:rowOff>
    </xdr:from>
    <xdr:to>
      <xdr:col>23</xdr:col>
      <xdr:colOff>347243</xdr:colOff>
      <xdr:row>3</xdr:row>
      <xdr:rowOff>127897</xdr:rowOff>
    </xdr:to>
    <xdr:sp macro="" textlink="">
      <xdr:nvSpPr>
        <xdr:cNvPr id="24" name="Arrow: Left 1">
          <a:extLst>
            <a:ext uri="{FF2B5EF4-FFF2-40B4-BE49-F238E27FC236}">
              <a16:creationId xmlns:a16="http://schemas.microsoft.com/office/drawing/2014/main" id="{B83BD5D9-8E1C-4920-97D9-713F64E318A9}"/>
            </a:ext>
          </a:extLst>
        </xdr:cNvPr>
        <xdr:cNvSpPr/>
      </xdr:nvSpPr>
      <xdr:spPr bwMode="auto">
        <a:xfrm>
          <a:off x="12678288" y="688193"/>
          <a:ext cx="280055" cy="79784"/>
        </a:xfrm>
        <a:prstGeom prst="leftArrow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25" name="Arrow: Right 24">
          <a:extLst>
            <a:ext uri="{FF2B5EF4-FFF2-40B4-BE49-F238E27FC236}">
              <a16:creationId xmlns:a16="http://schemas.microsoft.com/office/drawing/2014/main" id="{ECEEA23C-7DC0-4668-9493-562906FCB9FA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67188</xdr:colOff>
      <xdr:row>3</xdr:row>
      <xdr:rowOff>48113</xdr:rowOff>
    </xdr:from>
    <xdr:to>
      <xdr:col>23</xdr:col>
      <xdr:colOff>347243</xdr:colOff>
      <xdr:row>3</xdr:row>
      <xdr:rowOff>127897</xdr:rowOff>
    </xdr:to>
    <xdr:sp macro="" textlink="">
      <xdr:nvSpPr>
        <xdr:cNvPr id="26" name="Arrow: Left 1">
          <a:extLst>
            <a:ext uri="{FF2B5EF4-FFF2-40B4-BE49-F238E27FC236}">
              <a16:creationId xmlns:a16="http://schemas.microsoft.com/office/drawing/2014/main" id="{5DFE2C25-9534-4C0A-989E-7687467E498F}"/>
            </a:ext>
          </a:extLst>
        </xdr:cNvPr>
        <xdr:cNvSpPr/>
      </xdr:nvSpPr>
      <xdr:spPr bwMode="auto">
        <a:xfrm>
          <a:off x="12678288" y="688193"/>
          <a:ext cx="280055" cy="79784"/>
        </a:xfrm>
        <a:prstGeom prst="leftArrow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27" name="Arrow: Right 26">
          <a:extLst>
            <a:ext uri="{FF2B5EF4-FFF2-40B4-BE49-F238E27FC236}">
              <a16:creationId xmlns:a16="http://schemas.microsoft.com/office/drawing/2014/main" id="{2D93EC2A-48EF-4913-975B-FD916C0973A7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28" name="Arrow: Right 27">
          <a:extLst>
            <a:ext uri="{FF2B5EF4-FFF2-40B4-BE49-F238E27FC236}">
              <a16:creationId xmlns:a16="http://schemas.microsoft.com/office/drawing/2014/main" id="{7C1DA228-0FA6-429A-929D-D93C88D2F268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29" name="Arrow: Right 28">
          <a:extLst>
            <a:ext uri="{FF2B5EF4-FFF2-40B4-BE49-F238E27FC236}">
              <a16:creationId xmlns:a16="http://schemas.microsoft.com/office/drawing/2014/main" id="{AE63C8A1-BA39-4B82-A604-C94FD9F690BE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30" name="Arrow: Right 29">
          <a:extLst>
            <a:ext uri="{FF2B5EF4-FFF2-40B4-BE49-F238E27FC236}">
              <a16:creationId xmlns:a16="http://schemas.microsoft.com/office/drawing/2014/main" id="{C4288C22-57A0-47C5-947E-AD8537A82A98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31" name="Arrow: Right 30">
          <a:extLst>
            <a:ext uri="{FF2B5EF4-FFF2-40B4-BE49-F238E27FC236}">
              <a16:creationId xmlns:a16="http://schemas.microsoft.com/office/drawing/2014/main" id="{700A64C7-7E86-4F58-BFB9-18EC3E9EE4A8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32" name="Arrow: Right 31">
          <a:extLst>
            <a:ext uri="{FF2B5EF4-FFF2-40B4-BE49-F238E27FC236}">
              <a16:creationId xmlns:a16="http://schemas.microsoft.com/office/drawing/2014/main" id="{BB6FFE33-B2B5-4367-9A33-2EEA4895EDAD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33" name="Arrow: Right 32">
          <a:extLst>
            <a:ext uri="{FF2B5EF4-FFF2-40B4-BE49-F238E27FC236}">
              <a16:creationId xmlns:a16="http://schemas.microsoft.com/office/drawing/2014/main" id="{1B7D4A9D-7E7B-4DF7-A41E-970DE2518AF2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34" name="Arrow: Right 33">
          <a:extLst>
            <a:ext uri="{FF2B5EF4-FFF2-40B4-BE49-F238E27FC236}">
              <a16:creationId xmlns:a16="http://schemas.microsoft.com/office/drawing/2014/main" id="{65323B39-9B75-48C8-92ED-DD9743415DA4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35" name="Arrow: Right 34">
          <a:extLst>
            <a:ext uri="{FF2B5EF4-FFF2-40B4-BE49-F238E27FC236}">
              <a16:creationId xmlns:a16="http://schemas.microsoft.com/office/drawing/2014/main" id="{12E2A196-8086-4E41-9C26-E49CB9AD36BF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36" name="Arrow: Right 35">
          <a:extLst>
            <a:ext uri="{FF2B5EF4-FFF2-40B4-BE49-F238E27FC236}">
              <a16:creationId xmlns:a16="http://schemas.microsoft.com/office/drawing/2014/main" id="{847D461C-DC8A-40EF-A216-6AF00C5FCEA9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37" name="Arrow: Right 36">
          <a:extLst>
            <a:ext uri="{FF2B5EF4-FFF2-40B4-BE49-F238E27FC236}">
              <a16:creationId xmlns:a16="http://schemas.microsoft.com/office/drawing/2014/main" id="{1077876A-BF7D-4A5F-991E-F1B20A784D36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38" name="Arrow: Right 37">
          <a:extLst>
            <a:ext uri="{FF2B5EF4-FFF2-40B4-BE49-F238E27FC236}">
              <a16:creationId xmlns:a16="http://schemas.microsoft.com/office/drawing/2014/main" id="{9737BCEF-1035-44FA-A80D-3F786AD66B18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39" name="Arrow: Right 38">
          <a:extLst>
            <a:ext uri="{FF2B5EF4-FFF2-40B4-BE49-F238E27FC236}">
              <a16:creationId xmlns:a16="http://schemas.microsoft.com/office/drawing/2014/main" id="{D53644FD-4615-45F9-B040-70E1843018D6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40" name="Arrow: Right 39">
          <a:extLst>
            <a:ext uri="{FF2B5EF4-FFF2-40B4-BE49-F238E27FC236}">
              <a16:creationId xmlns:a16="http://schemas.microsoft.com/office/drawing/2014/main" id="{F358EBC1-EB3C-4460-A76C-C289D661F11B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41" name="Arrow: Right 40">
          <a:extLst>
            <a:ext uri="{FF2B5EF4-FFF2-40B4-BE49-F238E27FC236}">
              <a16:creationId xmlns:a16="http://schemas.microsoft.com/office/drawing/2014/main" id="{307C455E-74AE-433F-8871-23E449FD6E58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42" name="Arrow: Right 41">
          <a:extLst>
            <a:ext uri="{FF2B5EF4-FFF2-40B4-BE49-F238E27FC236}">
              <a16:creationId xmlns:a16="http://schemas.microsoft.com/office/drawing/2014/main" id="{7F8273F0-3399-47E6-A41A-F6286204EA36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43" name="Arrow: Right 42">
          <a:extLst>
            <a:ext uri="{FF2B5EF4-FFF2-40B4-BE49-F238E27FC236}">
              <a16:creationId xmlns:a16="http://schemas.microsoft.com/office/drawing/2014/main" id="{EA3F707D-3092-42D2-9B97-C469663524E5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44" name="Arrow: Right 43">
          <a:extLst>
            <a:ext uri="{FF2B5EF4-FFF2-40B4-BE49-F238E27FC236}">
              <a16:creationId xmlns:a16="http://schemas.microsoft.com/office/drawing/2014/main" id="{74080923-326A-4FC9-8007-3C1666AEF3C4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45" name="Arrow: Right 44">
          <a:extLst>
            <a:ext uri="{FF2B5EF4-FFF2-40B4-BE49-F238E27FC236}">
              <a16:creationId xmlns:a16="http://schemas.microsoft.com/office/drawing/2014/main" id="{4C59EF46-798B-4359-8590-6F3017BBD167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46" name="Arrow: Right 45">
          <a:extLst>
            <a:ext uri="{FF2B5EF4-FFF2-40B4-BE49-F238E27FC236}">
              <a16:creationId xmlns:a16="http://schemas.microsoft.com/office/drawing/2014/main" id="{2AB8A923-F410-4D36-9FD5-6DFB7DBA0DCD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6</xdr:row>
      <xdr:rowOff>68036</xdr:rowOff>
    </xdr:from>
    <xdr:to>
      <xdr:col>31</xdr:col>
      <xdr:colOff>272142</xdr:colOff>
      <xdr:row>6</xdr:row>
      <xdr:rowOff>136071</xdr:rowOff>
    </xdr:to>
    <xdr:sp macro="" textlink="">
      <xdr:nvSpPr>
        <xdr:cNvPr id="47" name="Arrow: Right 46">
          <a:extLst>
            <a:ext uri="{FF2B5EF4-FFF2-40B4-BE49-F238E27FC236}">
              <a16:creationId xmlns:a16="http://schemas.microsoft.com/office/drawing/2014/main" id="{0E30553B-9C4C-47B1-9371-348893B6849F}"/>
            </a:ext>
          </a:extLst>
        </xdr:cNvPr>
        <xdr:cNvSpPr/>
      </xdr:nvSpPr>
      <xdr:spPr bwMode="auto">
        <a:xfrm>
          <a:off x="15577457" y="1302476"/>
          <a:ext cx="353785" cy="68035"/>
        </a:xfrm>
        <a:prstGeom prst="rightArrow">
          <a:avLst/>
        </a:prstGeom>
        <a:solidFill>
          <a:schemeClr val="accent4">
            <a:lumMod val="75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211668</xdr:colOff>
      <xdr:row>2</xdr:row>
      <xdr:rowOff>102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93F1F16-8335-4277-871F-1AC66883B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2299470" cy="4330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75584</xdr:colOff>
      <xdr:row>0</xdr:row>
      <xdr:rowOff>0</xdr:rowOff>
    </xdr:from>
    <xdr:to>
      <xdr:col>8</xdr:col>
      <xdr:colOff>116416</xdr:colOff>
      <xdr:row>1</xdr:row>
      <xdr:rowOff>256270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2251" y="0"/>
          <a:ext cx="2210415" cy="4150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653067</xdr:colOff>
      <xdr:row>0</xdr:row>
      <xdr:rowOff>0</xdr:rowOff>
    </xdr:from>
    <xdr:to>
      <xdr:col>2</xdr:col>
      <xdr:colOff>1283103</xdr:colOff>
      <xdr:row>2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067" y="0"/>
          <a:ext cx="2982711" cy="44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45719</xdr:colOff>
      <xdr:row>0</xdr:row>
      <xdr:rowOff>9525</xdr:rowOff>
    </xdr:from>
    <xdr:to>
      <xdr:col>3</xdr:col>
      <xdr:colOff>1173307</xdr:colOff>
      <xdr:row>2</xdr:row>
      <xdr:rowOff>125903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2569" y="9525"/>
          <a:ext cx="2556338" cy="4973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141315</xdr:colOff>
      <xdr:row>0</xdr:row>
      <xdr:rowOff>0</xdr:rowOff>
    </xdr:from>
    <xdr:to>
      <xdr:col>4</xdr:col>
      <xdr:colOff>8313</xdr:colOff>
      <xdr:row>2</xdr:row>
      <xdr:rowOff>74814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831" y="0"/>
          <a:ext cx="2502133" cy="42394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758759</xdr:colOff>
      <xdr:row>0</xdr:row>
      <xdr:rowOff>44589</xdr:rowOff>
    </xdr:from>
    <xdr:to>
      <xdr:col>2</xdr:col>
      <xdr:colOff>2211160</xdr:colOff>
      <xdr:row>1</xdr:row>
      <xdr:rowOff>374196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759" y="44589"/>
          <a:ext cx="2983205" cy="4883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141315</xdr:colOff>
      <xdr:row>0</xdr:row>
      <xdr:rowOff>1</xdr:rowOff>
    </xdr:from>
    <xdr:to>
      <xdr:col>5</xdr:col>
      <xdr:colOff>491837</xdr:colOff>
      <xdr:row>2</xdr:row>
      <xdr:rowOff>83128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831" y="1"/>
          <a:ext cx="2668387" cy="43226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141315</xdr:colOff>
      <xdr:row>0</xdr:row>
      <xdr:rowOff>0</xdr:rowOff>
    </xdr:from>
    <xdr:to>
      <xdr:col>4</xdr:col>
      <xdr:colOff>1411533</xdr:colOff>
      <xdr:row>1</xdr:row>
      <xdr:rowOff>209652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831" y="0"/>
          <a:ext cx="2668387" cy="4405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664152</xdr:colOff>
      <xdr:row>0</xdr:row>
      <xdr:rowOff>0</xdr:rowOff>
    </xdr:from>
    <xdr:to>
      <xdr:col>3</xdr:col>
      <xdr:colOff>1609206</xdr:colOff>
      <xdr:row>2</xdr:row>
      <xdr:rowOff>124690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1002" y="0"/>
          <a:ext cx="2726229" cy="47711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74640</xdr:colOff>
      <xdr:row>0</xdr:row>
      <xdr:rowOff>57151</xdr:rowOff>
    </xdr:from>
    <xdr:to>
      <xdr:col>5</xdr:col>
      <xdr:colOff>31000</xdr:colOff>
      <xdr:row>2</xdr:row>
      <xdr:rowOff>123652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765" y="57151"/>
          <a:ext cx="2737660" cy="4189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  <pageSetUpPr fitToPage="1"/>
  </sheetPr>
  <dimension ref="A1:AV102"/>
  <sheetViews>
    <sheetView showGridLines="0" zoomScale="70" zoomScaleNormal="70" workbookViewId="0">
      <pane xSplit="6" ySplit="11" topLeftCell="K12" activePane="bottomRight" state="frozen"/>
      <selection pane="topRight" activeCell="G1" sqref="G1"/>
      <selection pane="bottomLeft" activeCell="A12" sqref="A12"/>
      <selection pane="bottomRight" activeCell="Z21" sqref="Z21:Z22"/>
    </sheetView>
  </sheetViews>
  <sheetFormatPr defaultColWidth="9.140625" defaultRowHeight="12.75" x14ac:dyDescent="0.2"/>
  <cols>
    <col min="1" max="1" width="33.85546875" style="27" bestFit="1" customWidth="1"/>
    <col min="2" max="2" width="10.7109375" style="27" bestFit="1" customWidth="1"/>
    <col min="3" max="3" width="10.5703125" style="27" bestFit="1" customWidth="1"/>
    <col min="4" max="4" width="15.5703125" style="54" customWidth="1"/>
    <col min="5" max="5" width="17" style="5" customWidth="1"/>
    <col min="6" max="6" width="7.140625" style="5" bestFit="1" customWidth="1"/>
    <col min="7" max="32" width="5.5703125" style="5" customWidth="1"/>
    <col min="33" max="33" width="29.42578125" style="5" customWidth="1"/>
    <col min="34" max="34" width="22.7109375" style="5" customWidth="1"/>
    <col min="35" max="35" width="18.5703125" style="5" customWidth="1"/>
    <col min="36" max="36" width="49.28515625" style="5" customWidth="1"/>
    <col min="37" max="37" width="30.85546875" style="5" customWidth="1"/>
    <col min="38" max="39" width="4.7109375" style="5" customWidth="1"/>
    <col min="40" max="43" width="9.140625" style="5" customWidth="1"/>
    <col min="44" max="44" width="8.140625" style="5" customWidth="1"/>
    <col min="45" max="45" width="9.140625" style="5" customWidth="1"/>
    <col min="46" max="46" width="18.28515625" style="27" customWidth="1"/>
    <col min="47" max="47" width="12" style="27" customWidth="1"/>
    <col min="48" max="48" width="9.7109375" style="27" customWidth="1"/>
    <col min="49" max="49" width="9.140625" style="5" customWidth="1"/>
    <col min="50" max="16384" width="9.140625" style="5"/>
  </cols>
  <sheetData>
    <row r="1" spans="1:48" ht="24.6" customHeight="1" thickBot="1" x14ac:dyDescent="0.3">
      <c r="A1" s="221" t="s">
        <v>0</v>
      </c>
      <c r="E1" s="1043" t="s">
        <v>278</v>
      </c>
      <c r="F1" s="1043"/>
      <c r="G1" s="1043"/>
      <c r="H1" s="1043"/>
      <c r="I1" s="1043"/>
      <c r="J1" s="1043"/>
      <c r="K1" s="1043"/>
      <c r="L1" s="1043"/>
      <c r="M1" s="1043"/>
      <c r="N1" s="1043"/>
      <c r="O1" s="1043"/>
      <c r="P1" s="1043"/>
      <c r="Q1" s="1043"/>
      <c r="R1" s="1043"/>
      <c r="S1" s="1043"/>
      <c r="T1" s="1043"/>
      <c r="U1" s="1043"/>
      <c r="V1" s="1043"/>
      <c r="W1" s="1043"/>
      <c r="X1" s="1038" t="s">
        <v>212</v>
      </c>
      <c r="Y1" s="1038"/>
      <c r="Z1" s="1038"/>
      <c r="AA1" s="1038"/>
      <c r="AJ1" s="168" t="s">
        <v>293</v>
      </c>
      <c r="AK1" s="685" t="s">
        <v>209</v>
      </c>
    </row>
    <row r="2" spans="1:48" ht="24.6" customHeight="1" thickBot="1" x14ac:dyDescent="0.3">
      <c r="A2" s="295" t="s">
        <v>316</v>
      </c>
      <c r="C2" s="170"/>
      <c r="D2" s="170"/>
      <c r="E2" s="1043"/>
      <c r="F2" s="1043"/>
      <c r="G2" s="1043"/>
      <c r="H2" s="1043"/>
      <c r="I2" s="1043"/>
      <c r="J2" s="1043"/>
      <c r="K2" s="1043"/>
      <c r="L2" s="1043"/>
      <c r="M2" s="1043"/>
      <c r="N2" s="1043"/>
      <c r="O2" s="1043"/>
      <c r="P2" s="1043"/>
      <c r="Q2" s="1043"/>
      <c r="R2" s="1043"/>
      <c r="S2" s="1043"/>
      <c r="T2" s="1043"/>
      <c r="U2" s="1043"/>
      <c r="V2" s="1043"/>
      <c r="W2" s="1043"/>
      <c r="X2" s="1038"/>
      <c r="Y2" s="1038"/>
      <c r="Z2" s="1038"/>
      <c r="AA2" s="1038"/>
      <c r="AB2" s="4"/>
      <c r="AC2" s="4"/>
      <c r="AD2" s="4"/>
      <c r="AE2" s="130"/>
      <c r="AF2" s="4"/>
      <c r="AG2" s="4"/>
      <c r="AH2" s="132" t="s">
        <v>1</v>
      </c>
      <c r="AI2" s="684"/>
      <c r="AJ2" s="168" t="s">
        <v>294</v>
      </c>
      <c r="AK2" s="685" t="s">
        <v>213</v>
      </c>
    </row>
    <row r="3" spans="1:48" ht="19.5" customHeight="1" thickBot="1" x14ac:dyDescent="0.35">
      <c r="A3" s="581" t="s">
        <v>214</v>
      </c>
      <c r="C3" s="169"/>
      <c r="P3" s="1039" t="s">
        <v>2</v>
      </c>
      <c r="Q3" s="1040"/>
      <c r="R3" s="1040"/>
      <c r="S3" s="1040"/>
      <c r="T3" s="1041"/>
      <c r="W3" s="30"/>
      <c r="X3" s="31"/>
      <c r="Y3" s="1042" t="s">
        <v>3</v>
      </c>
      <c r="Z3" s="1042"/>
      <c r="AA3" s="1047" t="s">
        <v>4</v>
      </c>
      <c r="AB3" s="1048"/>
      <c r="AC3" s="1048"/>
      <c r="AD3" s="1048"/>
      <c r="AE3" s="1048"/>
      <c r="AF3" s="1048"/>
      <c r="AG3" s="827">
        <f>AG5+EXISTING!AF6+'EUROPEAN SHOES'!AC5</f>
        <v>95</v>
      </c>
      <c r="AH3" s="825">
        <f>AG4+'CARE PRODUCTS &amp; MISC'!Q3</f>
        <v>17421</v>
      </c>
      <c r="AI3" s="686"/>
      <c r="AJ3" s="53" t="s">
        <v>295</v>
      </c>
      <c r="AK3" s="685" t="s">
        <v>215</v>
      </c>
      <c r="AL3" s="17"/>
      <c r="AM3" s="17"/>
      <c r="AN3" s="17"/>
      <c r="AO3" s="17"/>
      <c r="AP3" s="17"/>
      <c r="AQ3" s="17"/>
    </row>
    <row r="4" spans="1:48" ht="27.6" customHeight="1" thickTop="1" thickBot="1" x14ac:dyDescent="0.35">
      <c r="A4" s="956" t="s">
        <v>299</v>
      </c>
      <c r="B4" s="179"/>
      <c r="E4" s="188" t="s">
        <v>5</v>
      </c>
      <c r="F4" s="1088"/>
      <c r="G4" s="1089"/>
      <c r="H4" s="1089"/>
      <c r="I4" s="1090"/>
      <c r="J4" s="43"/>
      <c r="K4" s="64"/>
      <c r="L4" s="184"/>
      <c r="M4" s="1091" t="s">
        <v>6</v>
      </c>
      <c r="N4" s="1091"/>
      <c r="O4" s="1092"/>
      <c r="P4" s="1097"/>
      <c r="Q4" s="1097"/>
      <c r="R4" s="1097"/>
      <c r="S4" s="1097"/>
      <c r="T4" s="1097"/>
      <c r="U4" s="1098"/>
      <c r="V4" s="1099"/>
      <c r="W4" s="182" t="s">
        <v>7</v>
      </c>
      <c r="X4" s="50"/>
      <c r="Y4" s="1042"/>
      <c r="Z4" s="1042"/>
      <c r="AA4" s="1049" t="s">
        <v>8</v>
      </c>
      <c r="AB4" s="1050"/>
      <c r="AC4" s="1050"/>
      <c r="AD4" s="1050"/>
      <c r="AE4" s="1050"/>
      <c r="AF4" s="1050"/>
      <c r="AG4" s="828">
        <f>AG6+EXISTING!AF7+'EUROPEAN SHOES'!AC6</f>
        <v>14250</v>
      </c>
      <c r="AH4" s="1060" t="s">
        <v>249</v>
      </c>
      <c r="AI4" s="1061"/>
      <c r="AK4" s="685" t="s">
        <v>216</v>
      </c>
      <c r="AL4" s="17"/>
      <c r="AM4" s="17"/>
      <c r="AN4" s="17"/>
      <c r="AO4" s="107"/>
      <c r="AP4" s="17"/>
      <c r="AQ4" s="17"/>
      <c r="AR4" s="17" t="s">
        <v>9</v>
      </c>
      <c r="AS4" s="17" t="s">
        <v>10</v>
      </c>
    </row>
    <row r="5" spans="1:48" ht="15.75" customHeight="1" x14ac:dyDescent="0.25">
      <c r="A5" s="179"/>
      <c r="B5" s="1087" t="s">
        <v>11</v>
      </c>
      <c r="C5" s="1087"/>
      <c r="D5" s="1087"/>
      <c r="E5" s="189" t="s">
        <v>12</v>
      </c>
      <c r="F5" s="1052"/>
      <c r="G5" s="1053"/>
      <c r="H5" s="1053"/>
      <c r="I5" s="1054"/>
      <c r="J5" s="44"/>
      <c r="K5" s="45"/>
      <c r="L5" s="1057" t="s">
        <v>13</v>
      </c>
      <c r="M5" s="1058"/>
      <c r="N5" s="1058"/>
      <c r="O5" s="1059"/>
      <c r="P5" s="1052"/>
      <c r="Q5" s="1053"/>
      <c r="R5" s="1053"/>
      <c r="S5" s="1053"/>
      <c r="T5" s="1053"/>
      <c r="U5" s="1053"/>
      <c r="V5" s="1054"/>
      <c r="W5" s="1051" t="s">
        <v>14</v>
      </c>
      <c r="X5" s="1051"/>
      <c r="Y5" s="1051"/>
      <c r="Z5" s="1051"/>
      <c r="AA5" s="1044" t="s">
        <v>15</v>
      </c>
      <c r="AB5" s="1045"/>
      <c r="AC5" s="1045"/>
      <c r="AD5" s="1045"/>
      <c r="AE5" s="1045"/>
      <c r="AF5" s="1046"/>
      <c r="AG5" s="826">
        <f>A14+A23+A27+A35+A47+A65+A69+A73+A77+A85+A89+A97</f>
        <v>95</v>
      </c>
      <c r="AH5" s="797" t="s">
        <v>250</v>
      </c>
      <c r="AI5" s="1085" t="s">
        <v>304</v>
      </c>
      <c r="AJ5" s="1086"/>
      <c r="AK5" s="685" t="s">
        <v>217</v>
      </c>
      <c r="AL5" s="17"/>
      <c r="AM5" s="17"/>
      <c r="AN5" s="17"/>
      <c r="AO5" s="107"/>
      <c r="AP5" s="17"/>
      <c r="AQ5" s="17"/>
      <c r="AR5" s="17" t="s">
        <v>16</v>
      </c>
      <c r="AS5" s="17" t="s">
        <v>17</v>
      </c>
    </row>
    <row r="6" spans="1:48" ht="15.75" customHeight="1" thickBot="1" x14ac:dyDescent="0.3">
      <c r="A6" s="178"/>
      <c r="C6" s="73"/>
      <c r="E6" s="189" t="s">
        <v>18</v>
      </c>
      <c r="F6" s="1103" t="str">
        <f>IF(F7="",F8,F7)</f>
        <v xml:space="preserve">F26 A </v>
      </c>
      <c r="G6" s="1104"/>
      <c r="H6" s="1104"/>
      <c r="I6" s="1105"/>
      <c r="J6" s="44"/>
      <c r="K6" s="45"/>
      <c r="L6" s="185"/>
      <c r="M6" s="1058" t="s">
        <v>19</v>
      </c>
      <c r="N6" s="1058"/>
      <c r="O6" s="1059"/>
      <c r="P6" s="1055"/>
      <c r="Q6" s="1055"/>
      <c r="R6" s="1055"/>
      <c r="S6" s="1055"/>
      <c r="T6" s="1055"/>
      <c r="U6" s="1055"/>
      <c r="V6" s="1056"/>
      <c r="W6" s="1051"/>
      <c r="X6" s="1051"/>
      <c r="Y6" s="1051"/>
      <c r="Z6" s="1051"/>
      <c r="AA6" s="1082" t="s">
        <v>20</v>
      </c>
      <c r="AB6" s="1083"/>
      <c r="AC6" s="1083"/>
      <c r="AD6" s="1083"/>
      <c r="AE6" s="1083"/>
      <c r="AF6" s="1084"/>
      <c r="AG6" s="837">
        <f>A15+A24+A28+A36+A48+A66+A74+A78+A86+A90+A98+A70</f>
        <v>14250</v>
      </c>
      <c r="AH6" s="798" t="s">
        <v>251</v>
      </c>
      <c r="AI6" s="799" t="s">
        <v>305</v>
      </c>
      <c r="AJ6" s="800"/>
      <c r="AK6" s="685" t="s">
        <v>218</v>
      </c>
      <c r="AL6" s="17" t="s">
        <v>21</v>
      </c>
      <c r="AM6" s="53" t="s">
        <v>7</v>
      </c>
      <c r="AN6" s="17"/>
      <c r="AO6" s="107"/>
      <c r="AP6" s="17"/>
      <c r="AQ6" s="17"/>
      <c r="AR6" s="17" t="s">
        <v>22</v>
      </c>
    </row>
    <row r="7" spans="1:48" ht="15.75" thickBot="1" x14ac:dyDescent="0.3">
      <c r="A7" s="178"/>
      <c r="E7" s="190" t="s">
        <v>23</v>
      </c>
      <c r="F7" s="1106"/>
      <c r="G7" s="1106"/>
      <c r="H7" s="1106"/>
      <c r="I7" s="1107"/>
      <c r="L7" s="185"/>
      <c r="M7" s="181"/>
      <c r="N7" s="1058" t="s">
        <v>24</v>
      </c>
      <c r="O7" s="1059"/>
      <c r="P7" s="1100"/>
      <c r="Q7" s="1101"/>
      <c r="R7" s="1101"/>
      <c r="S7" s="1101"/>
      <c r="T7" s="1101"/>
      <c r="U7" s="1101"/>
      <c r="V7" s="1102"/>
      <c r="W7" s="1062"/>
      <c r="X7" s="1063"/>
      <c r="Y7" s="1063"/>
      <c r="Z7" s="1064"/>
      <c r="AA7" s="1076" t="s">
        <v>25</v>
      </c>
      <c r="AB7" s="1077"/>
      <c r="AC7" s="1077"/>
      <c r="AD7" s="1077"/>
      <c r="AE7" s="1077"/>
      <c r="AF7" s="1078"/>
      <c r="AG7" s="801"/>
      <c r="AH7" s="742"/>
      <c r="AI7" s="1068"/>
      <c r="AJ7" s="1069"/>
      <c r="AK7" s="625" t="s">
        <v>210</v>
      </c>
      <c r="AL7" s="17" t="s">
        <v>26</v>
      </c>
      <c r="AM7" s="53" t="s">
        <v>27</v>
      </c>
      <c r="AN7" s="17"/>
      <c r="AO7" s="107"/>
      <c r="AP7" s="17"/>
      <c r="AQ7" s="17"/>
      <c r="AR7" s="17" t="s">
        <v>28</v>
      </c>
    </row>
    <row r="8" spans="1:48" ht="15.75" customHeight="1" thickTop="1" thickBot="1" x14ac:dyDescent="0.25">
      <c r="E8" s="180" t="s">
        <v>29</v>
      </c>
      <c r="F8" s="1109" t="s">
        <v>300</v>
      </c>
      <c r="G8" s="1109"/>
      <c r="H8" s="1109"/>
      <c r="I8" s="1109"/>
      <c r="L8" s="186"/>
      <c r="M8" s="187"/>
      <c r="N8" s="1110" t="s">
        <v>30</v>
      </c>
      <c r="O8" s="1111"/>
      <c r="P8" s="1108"/>
      <c r="Q8" s="1108"/>
      <c r="R8" s="1108"/>
      <c r="S8" s="1095" t="s">
        <v>31</v>
      </c>
      <c r="T8" s="1096"/>
      <c r="U8" s="1093"/>
      <c r="V8" s="1094"/>
      <c r="W8" s="1065"/>
      <c r="X8" s="1066"/>
      <c r="Y8" s="1066"/>
      <c r="Z8" s="1067"/>
      <c r="AA8" s="303"/>
      <c r="AB8" s="183"/>
      <c r="AC8" s="183"/>
      <c r="AD8" s="183"/>
      <c r="AE8" s="183"/>
      <c r="AF8" s="216"/>
      <c r="AG8" s="304"/>
      <c r="AH8" s="1070" t="s">
        <v>253</v>
      </c>
      <c r="AI8" s="1071"/>
      <c r="AJ8" s="1072"/>
      <c r="AL8" s="17" t="s">
        <v>32</v>
      </c>
      <c r="AM8" s="53"/>
      <c r="AN8" s="17"/>
      <c r="AO8" s="165"/>
      <c r="AP8" s="17"/>
      <c r="AQ8" s="17"/>
    </row>
    <row r="9" spans="1:48" ht="19.5" thickTop="1" thickBot="1" x14ac:dyDescent="0.3">
      <c r="A9" s="1113" t="s">
        <v>33</v>
      </c>
      <c r="B9" s="1114"/>
      <c r="C9" s="1114"/>
      <c r="D9" s="1114"/>
      <c r="E9" s="207"/>
      <c r="F9" s="208"/>
      <c r="G9" s="208"/>
      <c r="H9" s="208"/>
      <c r="I9" s="208"/>
      <c r="J9" s="208"/>
      <c r="K9" s="208"/>
      <c r="L9" s="713"/>
      <c r="M9" s="713"/>
      <c r="N9" s="713"/>
      <c r="O9" s="713"/>
      <c r="P9" s="713"/>
      <c r="Q9" s="713"/>
      <c r="R9" s="713"/>
      <c r="S9" s="713"/>
      <c r="T9" s="713"/>
      <c r="U9" s="713"/>
      <c r="V9" s="713"/>
      <c r="W9" s="208"/>
      <c r="X9" s="208"/>
      <c r="Y9" s="208"/>
      <c r="Z9" s="208"/>
      <c r="AA9" s="1079" t="s">
        <v>34</v>
      </c>
      <c r="AB9" s="1080"/>
      <c r="AC9" s="1080"/>
      <c r="AD9" s="1080"/>
      <c r="AE9" s="1080"/>
      <c r="AF9" s="1081"/>
      <c r="AG9" s="802"/>
      <c r="AH9" s="1073"/>
      <c r="AI9" s="1074"/>
      <c r="AJ9" s="1075"/>
      <c r="AK9" s="296"/>
      <c r="AL9" s="17" t="s">
        <v>35</v>
      </c>
      <c r="AM9" s="17"/>
      <c r="AN9" s="17"/>
      <c r="AO9" s="17"/>
      <c r="AP9" s="17"/>
      <c r="AQ9" s="17"/>
    </row>
    <row r="10" spans="1:48" ht="15.75" customHeight="1" thickBot="1" x14ac:dyDescent="0.25">
      <c r="A10" s="1115"/>
      <c r="B10" s="1116"/>
      <c r="C10" s="1116"/>
      <c r="D10" s="1117"/>
      <c r="E10" s="209"/>
      <c r="F10" s="209"/>
      <c r="G10" s="714"/>
      <c r="H10" s="715"/>
      <c r="I10" s="715"/>
      <c r="J10" s="715"/>
      <c r="K10" s="715"/>
      <c r="L10" s="715"/>
      <c r="M10" s="715"/>
      <c r="N10" s="715"/>
      <c r="O10" s="715"/>
      <c r="P10" s="715"/>
      <c r="Q10" s="715"/>
      <c r="R10" s="715"/>
      <c r="S10" s="715"/>
      <c r="T10" s="715"/>
      <c r="U10" s="715"/>
      <c r="V10" s="715"/>
      <c r="W10" s="715"/>
      <c r="X10" s="715"/>
      <c r="Y10" s="715"/>
      <c r="Z10" s="716"/>
      <c r="AA10" s="209"/>
      <c r="AB10" s="209"/>
      <c r="AC10" s="24"/>
      <c r="AD10" s="24"/>
      <c r="AE10" s="131"/>
      <c r="AF10" s="24"/>
      <c r="AG10" s="24"/>
      <c r="AH10" s="131"/>
      <c r="AI10" s="24"/>
      <c r="AJ10" s="437" t="s">
        <v>36</v>
      </c>
      <c r="AK10" s="17"/>
      <c r="AL10" s="17"/>
      <c r="AM10" s="17"/>
      <c r="AN10" s="17"/>
      <c r="AO10" s="17"/>
      <c r="AP10" s="17"/>
      <c r="AQ10" s="17"/>
    </row>
    <row r="11" spans="1:48" s="39" customFormat="1" ht="16.5" thickBot="1" x14ac:dyDescent="0.3">
      <c r="A11" s="446"/>
      <c r="B11" s="446" t="s">
        <v>37</v>
      </c>
      <c r="C11" s="438" t="s">
        <v>38</v>
      </c>
      <c r="D11" s="866" t="s">
        <v>105</v>
      </c>
      <c r="E11" s="438" t="s">
        <v>39</v>
      </c>
      <c r="F11" s="430" t="s">
        <v>40</v>
      </c>
      <c r="G11" s="430" t="s">
        <v>41</v>
      </c>
      <c r="H11" s="384" t="s">
        <v>42</v>
      </c>
      <c r="I11" s="384" t="s">
        <v>43</v>
      </c>
      <c r="J11" s="384" t="s">
        <v>44</v>
      </c>
      <c r="K11" s="384" t="s">
        <v>45</v>
      </c>
      <c r="L11" s="430" t="s">
        <v>46</v>
      </c>
      <c r="M11" s="384" t="s">
        <v>47</v>
      </c>
      <c r="N11" s="384" t="s">
        <v>48</v>
      </c>
      <c r="O11" s="386" t="s">
        <v>49</v>
      </c>
      <c r="P11" s="438" t="s">
        <v>50</v>
      </c>
      <c r="Q11" s="384" t="s">
        <v>51</v>
      </c>
      <c r="R11" s="384" t="s">
        <v>52</v>
      </c>
      <c r="S11" s="384" t="s">
        <v>53</v>
      </c>
      <c r="T11" s="384" t="s">
        <v>54</v>
      </c>
      <c r="U11" s="384" t="s">
        <v>55</v>
      </c>
      <c r="V11" s="383" t="s">
        <v>56</v>
      </c>
      <c r="W11" s="439" t="s">
        <v>57</v>
      </c>
      <c r="X11" s="440" t="s">
        <v>58</v>
      </c>
      <c r="Y11" s="440" t="s">
        <v>59</v>
      </c>
      <c r="Z11" s="441" t="s">
        <v>60</v>
      </c>
      <c r="AA11" s="385" t="s">
        <v>61</v>
      </c>
      <c r="AB11" s="383">
        <v>14</v>
      </c>
      <c r="AC11" s="383">
        <v>15</v>
      </c>
      <c r="AD11" s="384">
        <v>16</v>
      </c>
      <c r="AE11" s="383">
        <v>17</v>
      </c>
      <c r="AF11" s="384">
        <v>18</v>
      </c>
      <c r="AG11" s="430" t="s">
        <v>62</v>
      </c>
      <c r="AH11" s="587" t="s">
        <v>63</v>
      </c>
      <c r="AI11" s="829" t="s">
        <v>64</v>
      </c>
      <c r="AJ11" s="442"/>
      <c r="AK11" s="17"/>
      <c r="AL11" s="149"/>
      <c r="AM11" s="149"/>
      <c r="AN11" s="149"/>
      <c r="AO11" s="149"/>
      <c r="AP11" s="149"/>
      <c r="AQ11" s="149"/>
      <c r="AT11" s="294" t="s">
        <v>65</v>
      </c>
      <c r="AU11" s="294" t="s">
        <v>66</v>
      </c>
      <c r="AV11" s="294" t="s">
        <v>67</v>
      </c>
    </row>
    <row r="12" spans="1:48" s="39" customFormat="1" ht="15.75" x14ac:dyDescent="0.25">
      <c r="A12" s="638" t="s">
        <v>211</v>
      </c>
      <c r="B12" s="1037"/>
      <c r="C12" s="856" t="s">
        <v>254</v>
      </c>
      <c r="D12" s="867" t="s">
        <v>306</v>
      </c>
      <c r="E12" s="884">
        <v>2543</v>
      </c>
      <c r="F12" s="885" t="s">
        <v>35</v>
      </c>
      <c r="G12" s="640"/>
      <c r="H12" s="431"/>
      <c r="I12" s="431"/>
      <c r="J12" s="431"/>
      <c r="K12" s="431"/>
      <c r="L12" s="443" t="str">
        <f>IF(IF($AT12&lt;&gt;"",VLOOKUP(CONCATENATE($AT12,$AU12,$AV12,$F12),'SKU Dist'!$E$2:$X$200,'SKU Dist'!F$1,FALSE),"")=0,"",IF($AT12&lt;&gt;"",VLOOKUP(CONCATENATE($AT12,$AU12,$AV12,$F12),'SKU Dist'!$E$2:$X$200,'SKU Dist'!F$1,FALSE),""))</f>
        <v/>
      </c>
      <c r="M12" s="443" t="str">
        <f>IF(IF($AT12&lt;&gt;"",VLOOKUP(CONCATENATE($AT12,$AU12,$AV12,$F12),'SKU Dist'!$E$2:$X$200,'SKU Dist'!G$1,FALSE),"")=0,"",IF($AT12&lt;&gt;"",VLOOKUP(CONCATENATE($AT12,$AU12,$AV12,$F12),'SKU Dist'!$E$2:$X$200,'SKU Dist'!G$1,FALSE),""))</f>
        <v/>
      </c>
      <c r="N12" s="443" t="str">
        <f>IF(IF($AT12&lt;&gt;"",VLOOKUP(CONCATENATE($AT12,$AU12,$AV12,$F12),'SKU Dist'!$E$2:$X$200,'SKU Dist'!H$1,FALSE),"")=0,"",IF($AT12&lt;&gt;"",VLOOKUP(CONCATENATE($AT12,$AU12,$AV12,$F12),'SKU Dist'!$E$2:$X$200,'SKU Dist'!H$1,FALSE),""))</f>
        <v/>
      </c>
      <c r="O12" s="443" t="str">
        <f>IF(IF($AT12&lt;&gt;"",VLOOKUP(CONCATENATE($AT12,$AU12,$AV12,$F12),'SKU Dist'!$E$2:$X$200,'SKU Dist'!I$1,FALSE),"")=0,"",IF($AT12&lt;&gt;"",VLOOKUP(CONCATENATE($AT12,$AU12,$AV12,$F12),'SKU Dist'!$E$2:$X$200,'SKU Dist'!I$1,FALSE),""))</f>
        <v/>
      </c>
      <c r="P12" s="443" t="str">
        <f>IF(IF($AT12&lt;&gt;"",VLOOKUP(CONCATENATE($AT12,$AU12,$AV12,$F12),'SKU Dist'!$E$2:$X$200,'SKU Dist'!J$1,FALSE),"")=0,"",IF($AT12&lt;&gt;"",VLOOKUP(CONCATENATE($AT12,$AU12,$AV12,$F12),'SKU Dist'!$E$2:$X$200,'SKU Dist'!J$1,FALSE),""))</f>
        <v/>
      </c>
      <c r="Q12" s="443" t="str">
        <f>IF(IF($AT12&lt;&gt;"",VLOOKUP(CONCATENATE($AT12,$AU12,$AV12,$F12),'SKU Dist'!$E$2:$X$200,'SKU Dist'!K$1,FALSE),"")=0,"",IF($AT12&lt;&gt;"",VLOOKUP(CONCATENATE($AT12,$AU12,$AV12,$F12),'SKU Dist'!$E$2:$X$200,'SKU Dist'!K$1,FALSE),""))</f>
        <v/>
      </c>
      <c r="R12" s="443" t="str">
        <f>IF(IF($AT12&lt;&gt;"",VLOOKUP(CONCATENATE($AT12,$AU12,$AV12,$F12),'SKU Dist'!$E$2:$X$200,'SKU Dist'!L$1,FALSE),"")=0,"",IF($AT12&lt;&gt;"",VLOOKUP(CONCATENATE($AT12,$AU12,$AV12,$F12),'SKU Dist'!$E$2:$X$200,'SKU Dist'!L$1,FALSE),""))</f>
        <v/>
      </c>
      <c r="S12" s="443">
        <v>1</v>
      </c>
      <c r="T12" s="443">
        <v>1</v>
      </c>
      <c r="U12" s="443">
        <v>2</v>
      </c>
      <c r="V12" s="443">
        <v>2</v>
      </c>
      <c r="W12" s="443">
        <v>2</v>
      </c>
      <c r="X12" s="443">
        <v>2</v>
      </c>
      <c r="Y12" s="443">
        <v>1</v>
      </c>
      <c r="Z12" s="443">
        <v>2</v>
      </c>
      <c r="AA12" s="443" t="str">
        <f>IF(IF($AT12&lt;&gt;"",VLOOKUP(CONCATENATE($AT12,$AU12,$AV12,$F12),'SKU Dist'!$E$2:$X$200,'SKU Dist'!U$1,FALSE),"")=0,"",IF($AT12&lt;&gt;"",VLOOKUP(CONCATENATE($AT12,$AU12,$AV12,$F12),'SKU Dist'!$E$2:$X$200,'SKU Dist'!U$1,FALSE),""))</f>
        <v/>
      </c>
      <c r="AB12" s="443" t="str">
        <f>IF(IF($AT12&lt;&gt;"",VLOOKUP(CONCATENATE($AT12,$AU12,$AV12,$F12),'SKU Dist'!$E$2:$X$200,'SKU Dist'!V$1,FALSE),"")=0,"",IF($AT12&lt;&gt;"",VLOOKUP(CONCATENATE($AT12,$AU12,$AV12,$F12),'SKU Dist'!$E$2:$X$200,'SKU Dist'!V$1,FALSE),""))</f>
        <v/>
      </c>
      <c r="AC12" s="443" t="str">
        <f>IF(IF($AT12&lt;&gt;"",VLOOKUP(CONCATENATE($AT12,$AU12,$AV12,$F12),'SKU Dist'!$E$2:$X$200,'SKU Dist'!W$1,FALSE),"")=0,"",IF($AT12&lt;&gt;"",VLOOKUP(CONCATENATE($AT12,$AU12,$AV12,$F12),'SKU Dist'!$E$2:$X$200,'SKU Dist'!W$1,FALSE),""))</f>
        <v/>
      </c>
      <c r="AD12" s="443"/>
      <c r="AE12" s="444"/>
      <c r="AF12" s="586"/>
      <c r="AG12" s="812">
        <f>SUM(G12:AF12)</f>
        <v>13</v>
      </c>
      <c r="AH12" s="823">
        <v>180</v>
      </c>
      <c r="AI12" s="942">
        <f t="shared" ref="AI12:AI74" si="0">AG12*AH12</f>
        <v>2340</v>
      </c>
      <c r="AJ12" s="925"/>
      <c r="AK12" s="5"/>
      <c r="AT12" s="222" t="str">
        <f t="shared" ref="AT12:AT91" si="1">IF(E12=E11,AT11,IF(B12="","",B12))</f>
        <v/>
      </c>
      <c r="AU12" s="206" t="s">
        <v>9</v>
      </c>
      <c r="AV12" s="152" t="s">
        <v>10</v>
      </c>
    </row>
    <row r="13" spans="1:48" s="39" customFormat="1" ht="16.5" thickBot="1" x14ac:dyDescent="0.25">
      <c r="A13" s="639" t="s">
        <v>267</v>
      </c>
      <c r="B13" s="1031"/>
      <c r="C13" s="857" t="s">
        <v>254</v>
      </c>
      <c r="D13" s="868" t="s">
        <v>306</v>
      </c>
      <c r="E13" s="886">
        <v>2543</v>
      </c>
      <c r="F13" s="887" t="s">
        <v>68</v>
      </c>
      <c r="G13" s="641"/>
      <c r="H13" s="392"/>
      <c r="I13" s="392"/>
      <c r="J13" s="392"/>
      <c r="K13" s="392"/>
      <c r="L13" s="389" t="str">
        <f>IF(IF($AT13&lt;&gt;"",VLOOKUP(CONCATENATE($AT13,$AU13,$AV13,$F13),'SKU Dist'!$E$2:$X$200,'SKU Dist'!F$1,FALSE),"")=0,"",IF($AT13&lt;&gt;"",VLOOKUP(CONCATENATE($AT13,$AU13,$AV13,$F13),'SKU Dist'!$E$2:$X$200,'SKU Dist'!F$1,FALSE),""))</f>
        <v/>
      </c>
      <c r="M13" s="389" t="str">
        <f>IF(IF($AT13&lt;&gt;"",VLOOKUP(CONCATENATE($AT13,$AU13,$AV13,$F13),'SKU Dist'!$E$2:$X$200,'SKU Dist'!G$1,FALSE),"")=0,"",IF($AT13&lt;&gt;"",VLOOKUP(CONCATENATE($AT13,$AU13,$AV13,$F13),'SKU Dist'!$E$2:$X$200,'SKU Dist'!G$1,FALSE),""))</f>
        <v/>
      </c>
      <c r="N13" s="389" t="str">
        <f>IF(IF($AT13&lt;&gt;"",VLOOKUP(CONCATENATE($AT13,$AU13,$AV13,$F13),'SKU Dist'!$E$2:$X$200,'SKU Dist'!H$1,FALSE),"")=0,"",IF($AT13&lt;&gt;"",VLOOKUP(CONCATENATE($AT13,$AU13,$AV13,$F13),'SKU Dist'!$E$2:$X$200,'SKU Dist'!H$1,FALSE),""))</f>
        <v/>
      </c>
      <c r="O13" s="389" t="str">
        <f>IF(IF($AT13&lt;&gt;"",VLOOKUP(CONCATENATE($AT13,$AU13,$AV13,$F13),'SKU Dist'!$E$2:$X$200,'SKU Dist'!I$1,FALSE),"")=0,"",IF($AT13&lt;&gt;"",VLOOKUP(CONCATENATE($AT13,$AU13,$AV13,$F13),'SKU Dist'!$E$2:$X$200,'SKU Dist'!I$1,FALSE),""))</f>
        <v/>
      </c>
      <c r="P13" s="389" t="str">
        <f>IF(IF($AT13&lt;&gt;"",VLOOKUP(CONCATENATE($AT13,$AU13,$AV13,$F13),'SKU Dist'!$E$2:$X$200,'SKU Dist'!J$1,FALSE),"")=0,"",IF($AT13&lt;&gt;"",VLOOKUP(CONCATENATE($AT13,$AU13,$AV13,$F13),'SKU Dist'!$E$2:$X$200,'SKU Dist'!J$1,FALSE),""))</f>
        <v/>
      </c>
      <c r="Q13" s="389" t="str">
        <f>IF(IF($AT13&lt;&gt;"",VLOOKUP(CONCATENATE($AT13,$AU13,$AV13,$F13),'SKU Dist'!$E$2:$X$200,'SKU Dist'!K$1,FALSE),"")=0,"",IF($AT13&lt;&gt;"",VLOOKUP(CONCATENATE($AT13,$AU13,$AV13,$F13),'SKU Dist'!$E$2:$X$200,'SKU Dist'!K$1,FALSE),""))</f>
        <v/>
      </c>
      <c r="R13" s="389" t="str">
        <f>IF(IF($AT13&lt;&gt;"",VLOOKUP(CONCATENATE($AT13,$AU13,$AV13,$F13),'SKU Dist'!$E$2:$X$200,'SKU Dist'!L$1,FALSE),"")=0,"",IF($AT13&lt;&gt;"",VLOOKUP(CONCATENATE($AT13,$AU13,$AV13,$F13),'SKU Dist'!$E$2:$X$200,'SKU Dist'!L$1,FALSE),""))</f>
        <v/>
      </c>
      <c r="S13" s="389"/>
      <c r="T13" s="389">
        <v>1</v>
      </c>
      <c r="U13" s="389">
        <v>1</v>
      </c>
      <c r="V13" s="389">
        <v>1</v>
      </c>
      <c r="W13" s="389">
        <v>1</v>
      </c>
      <c r="X13" s="389">
        <v>1</v>
      </c>
      <c r="Y13" s="389"/>
      <c r="Z13" s="389">
        <v>1</v>
      </c>
      <c r="AA13" s="389" t="str">
        <f>IF(IF($AT13&lt;&gt;"",VLOOKUP(CONCATENATE($AT13,$AU13,$AV13,$F13),'SKU Dist'!$E$2:$X$200,'SKU Dist'!U$1,FALSE),"")=0,"",IF($AT13&lt;&gt;"",VLOOKUP(CONCATENATE($AT13,$AU13,$AV13,$F13),'SKU Dist'!$E$2:$X$200,'SKU Dist'!U$1,FALSE),""))</f>
        <v/>
      </c>
      <c r="AB13" s="389" t="str">
        <f>IF(IF($AT13&lt;&gt;"",VLOOKUP(CONCATENATE($AT13,$AU13,$AV13,$F13),'SKU Dist'!$E$2:$X$200,'SKU Dist'!V$1,FALSE),"")=0,"",IF($AT13&lt;&gt;"",VLOOKUP(CONCATENATE($AT13,$AU13,$AV13,$F13),'SKU Dist'!$E$2:$X$200,'SKU Dist'!V$1,FALSE),""))</f>
        <v/>
      </c>
      <c r="AC13" s="390"/>
      <c r="AD13" s="390"/>
      <c r="AE13" s="390"/>
      <c r="AF13" s="585"/>
      <c r="AG13" s="804">
        <f t="shared" ref="AG13" si="2">SUM(G13:AF13)</f>
        <v>6</v>
      </c>
      <c r="AH13" s="817">
        <v>180</v>
      </c>
      <c r="AI13" s="943">
        <f t="shared" si="0"/>
        <v>1080</v>
      </c>
      <c r="AJ13" s="926"/>
      <c r="AK13" s="5"/>
      <c r="AT13" s="222" t="str">
        <f t="shared" si="1"/>
        <v/>
      </c>
      <c r="AU13" s="206" t="s">
        <v>9</v>
      </c>
      <c r="AV13" s="152" t="s">
        <v>10</v>
      </c>
    </row>
    <row r="14" spans="1:48" s="39" customFormat="1" ht="15.75" x14ac:dyDescent="0.2">
      <c r="A14" s="659">
        <f>SUM(AG12:AG20)</f>
        <v>19</v>
      </c>
      <c r="B14" s="1031"/>
      <c r="C14" s="858" t="s">
        <v>254</v>
      </c>
      <c r="D14" s="869" t="s">
        <v>306</v>
      </c>
      <c r="E14" s="888">
        <v>2543</v>
      </c>
      <c r="F14" s="889" t="s">
        <v>92</v>
      </c>
      <c r="G14" s="645"/>
      <c r="H14" s="632"/>
      <c r="I14" s="632"/>
      <c r="J14" s="632"/>
      <c r="K14" s="632"/>
      <c r="L14" s="779" t="str">
        <f>IF(IF($AT14&lt;&gt;"",VLOOKUP(CONCATENATE($AT14,$AU14,$AV14,$F14),'SKU Dist'!$E$2:$X$200,'SKU Dist'!F$1,FALSE),"")=0,"",IF($AT14&lt;&gt;"",VLOOKUP(CONCATENATE($AT14,$AU14,$AV14,$F14),'SKU Dist'!$E$2:$X$200,'SKU Dist'!F$1,FALSE),""))</f>
        <v/>
      </c>
      <c r="M14" s="779" t="str">
        <f>IF(IF($AT14&lt;&gt;"",VLOOKUP(CONCATENATE($AT14,$AU14,$AV14,$F14),'SKU Dist'!$E$2:$X$200,'SKU Dist'!G$1,FALSE),"")=0,"",IF($AT14&lt;&gt;"",VLOOKUP(CONCATENATE($AT14,$AU14,$AV14,$F14),'SKU Dist'!$E$2:$X$200,'SKU Dist'!G$1,FALSE),""))</f>
        <v/>
      </c>
      <c r="N14" s="779" t="str">
        <f>IF(IF($AT14&lt;&gt;"",VLOOKUP(CONCATENATE($AT14,$AU14,$AV14,$F14),'SKU Dist'!$E$2:$X$200,'SKU Dist'!H$1,FALSE),"")=0,"",IF($AT14&lt;&gt;"",VLOOKUP(CONCATENATE($AT14,$AU14,$AV14,$F14),'SKU Dist'!$E$2:$X$200,'SKU Dist'!H$1,FALSE),""))</f>
        <v/>
      </c>
      <c r="O14" s="779" t="str">
        <f>IF(IF($AT14&lt;&gt;"",VLOOKUP(CONCATENATE($AT14,$AU14,$AV14,$F14),'SKU Dist'!$E$2:$X$200,'SKU Dist'!I$1,FALSE),"")=0,"",IF($AT14&lt;&gt;"",VLOOKUP(CONCATENATE($AT14,$AU14,$AV14,$F14),'SKU Dist'!$E$2:$X$200,'SKU Dist'!I$1,FALSE),""))</f>
        <v/>
      </c>
      <c r="P14" s="779" t="str">
        <f>IF(IF($AT14&lt;&gt;"",VLOOKUP(CONCATENATE($AT14,$AU14,$AV14,$F14),'SKU Dist'!$E$2:$X$200,'SKU Dist'!J$1,FALSE),"")=0,"",IF($AT14&lt;&gt;"",VLOOKUP(CONCATENATE($AT14,$AU14,$AV14,$F14),'SKU Dist'!$E$2:$X$200,'SKU Dist'!J$1,FALSE),""))</f>
        <v/>
      </c>
      <c r="Q14" s="779" t="str">
        <f>IF(IF($AT14&lt;&gt;"",VLOOKUP(CONCATENATE($AT14,$AU14,$AV14,$F14),'SKU Dist'!$E$2:$X$200,'SKU Dist'!K$1,FALSE),"")=0,"",IF($AT14&lt;&gt;"",VLOOKUP(CONCATENATE($AT14,$AU14,$AV14,$F14),'SKU Dist'!$E$2:$X$200,'SKU Dist'!K$1,FALSE),""))</f>
        <v/>
      </c>
      <c r="R14" s="779" t="str">
        <f>IF(IF($AT14&lt;&gt;"",VLOOKUP(CONCATENATE($AT14,$AU14,$AV14,$F14),'SKU Dist'!$E$2:$X$200,'SKU Dist'!L$1,FALSE),"")=0,"",IF($AT14&lt;&gt;"",VLOOKUP(CONCATENATE($AT14,$AU14,$AV14,$F14),'SKU Dist'!$E$2:$X$200,'SKU Dist'!L$1,FALSE),""))</f>
        <v/>
      </c>
      <c r="S14" s="779" t="str">
        <f>IF(IF($AT14&lt;&gt;"",VLOOKUP(CONCATENATE($AT14,$AU14,$AV14,$F14),'SKU Dist'!$E$2:$X$200,'SKU Dist'!M$1,FALSE),"")=0,"",IF($AT14&lt;&gt;"",VLOOKUP(CONCATENATE($AT14,$AU14,$AV14,$F14),'SKU Dist'!$E$2:$X$200,'SKU Dist'!M$1,FALSE),""))</f>
        <v/>
      </c>
      <c r="T14" s="779" t="str">
        <f>IF(IF($AT14&lt;&gt;"",VLOOKUP(CONCATENATE($AT14,$AU14,$AV14,$F14),'SKU Dist'!$E$2:$X$200,'SKU Dist'!N$1,FALSE),"")=0,"",IF($AT14&lt;&gt;"",VLOOKUP(CONCATENATE($AT14,$AU14,$AV14,$F14),'SKU Dist'!$E$2:$X$200,'SKU Dist'!N$1,FALSE),""))</f>
        <v/>
      </c>
      <c r="U14" s="779" t="str">
        <f>IF(IF($AT14&lt;&gt;"",VLOOKUP(CONCATENATE($AT14,$AU14,$AV14,$F14),'SKU Dist'!$E$2:$X$200,'SKU Dist'!O$1,FALSE),"")=0,"",IF($AT14&lt;&gt;"",VLOOKUP(CONCATENATE($AT14,$AU14,$AV14,$F14),'SKU Dist'!$E$2:$X$200,'SKU Dist'!O$1,FALSE),""))</f>
        <v/>
      </c>
      <c r="V14" s="779" t="str">
        <f>IF(IF($AT14&lt;&gt;"",VLOOKUP(CONCATENATE($AT14,$AU14,$AV14,$F14),'SKU Dist'!$E$2:$X$200,'SKU Dist'!P$1,FALSE),"")=0,"",IF($AT14&lt;&gt;"",VLOOKUP(CONCATENATE($AT14,$AU14,$AV14,$F14),'SKU Dist'!$E$2:$X$200,'SKU Dist'!P$1,FALSE),""))</f>
        <v/>
      </c>
      <c r="W14" s="779" t="str">
        <f>IF(IF($AT14&lt;&gt;"",VLOOKUP(CONCATENATE($AT14,$AU14,$AV14,$F14),'SKU Dist'!$E$2:$X$200,'SKU Dist'!Q$1,FALSE),"")=0,"",IF($AT14&lt;&gt;"",VLOOKUP(CONCATENATE($AT14,$AU14,$AV14,$F14),'SKU Dist'!$E$2:$X$200,'SKU Dist'!Q$1,FALSE),""))</f>
        <v/>
      </c>
      <c r="X14" s="779" t="str">
        <f>IF(IF($AT14&lt;&gt;"",VLOOKUP(CONCATENATE($AT14,$AU14,$AV14,$F14),'SKU Dist'!$E$2:$X$200,'SKU Dist'!R$1,FALSE),"")=0,"",IF($AT14&lt;&gt;"",VLOOKUP(CONCATENATE($AT14,$AU14,$AV14,$F14),'SKU Dist'!$E$2:$X$200,'SKU Dist'!R$1,FALSE),""))</f>
        <v/>
      </c>
      <c r="Y14" s="779" t="str">
        <f>IF(IF($AT14&lt;&gt;"",VLOOKUP(CONCATENATE($AT14,$AU14,$AV14,$F14),'SKU Dist'!$E$2:$X$200,'SKU Dist'!S$1,FALSE),"")=0,"",IF($AT14&lt;&gt;"",VLOOKUP(CONCATENATE($AT14,$AU14,$AV14,$F14),'SKU Dist'!$E$2:$X$200,'SKU Dist'!S$1,FALSE),""))</f>
        <v/>
      </c>
      <c r="Z14" s="779" t="str">
        <f>IF(IF($AT14&lt;&gt;"",VLOOKUP(CONCATENATE($AT14,$AU14,$AV14,$F14),'SKU Dist'!$E$2:$X$200,'SKU Dist'!T$1,FALSE),"")=0,"",IF($AT14&lt;&gt;"",VLOOKUP(CONCATENATE($AT14,$AU14,$AV14,$F14),'SKU Dist'!$E$2:$X$200,'SKU Dist'!T$1,FALSE),""))</f>
        <v/>
      </c>
      <c r="AA14" s="779" t="str">
        <f>IF(IF($AT14&lt;&gt;"",VLOOKUP(CONCATENATE($AT14,$AU14,$AV14,$F14),'SKU Dist'!$E$2:$X$200,'SKU Dist'!U$1,FALSE),"")=0,"",IF($AT14&lt;&gt;"",VLOOKUP(CONCATENATE($AT14,$AU14,$AV14,$F14),'SKU Dist'!$E$2:$X$200,'SKU Dist'!U$1,FALSE),""))</f>
        <v/>
      </c>
      <c r="AB14" s="779" t="str">
        <f>IF(IF($AT14&lt;&gt;"",VLOOKUP(CONCATENATE($AT14,$AU14,$AV14,$F14),'SKU Dist'!$E$2:$X$200,'SKU Dist'!V$1,FALSE),"")=0,"",IF($AT14&lt;&gt;"",VLOOKUP(CONCATENATE($AT14,$AU14,$AV14,$F14),'SKU Dist'!$E$2:$X$200,'SKU Dist'!V$1,FALSE),""))</f>
        <v/>
      </c>
      <c r="AC14" s="633"/>
      <c r="AD14" s="633"/>
      <c r="AE14" s="633"/>
      <c r="AF14" s="634"/>
      <c r="AG14" s="808">
        <f t="shared" ref="AG14" si="3">SUM(G14:AF14)</f>
        <v>0</v>
      </c>
      <c r="AH14" s="820">
        <v>180</v>
      </c>
      <c r="AI14" s="944">
        <f t="shared" si="0"/>
        <v>0</v>
      </c>
      <c r="AJ14" s="927"/>
      <c r="AK14" s="5"/>
      <c r="AT14" s="222" t="str">
        <f t="shared" si="1"/>
        <v/>
      </c>
      <c r="AU14" s="206" t="s">
        <v>9</v>
      </c>
      <c r="AV14" s="152" t="s">
        <v>10</v>
      </c>
    </row>
    <row r="15" spans="1:48" s="39" customFormat="1" ht="15.75" x14ac:dyDescent="0.2">
      <c r="A15" s="658">
        <f>SUM(AI12:AI20)</f>
        <v>3420</v>
      </c>
      <c r="B15" s="1029"/>
      <c r="C15" s="859" t="s">
        <v>254</v>
      </c>
      <c r="D15" s="870" t="s">
        <v>306</v>
      </c>
      <c r="E15" s="890">
        <v>3577</v>
      </c>
      <c r="F15" s="891" t="s">
        <v>35</v>
      </c>
      <c r="G15" s="645"/>
      <c r="H15" s="632"/>
      <c r="I15" s="632"/>
      <c r="J15" s="632"/>
      <c r="K15" s="632"/>
      <c r="L15" s="778" t="str">
        <f>IF(IF($AT15&lt;&gt;"",VLOOKUP(CONCATENATE($AT15,$AU15,$AV15,$F15),'SKU Dist'!$E$2:$X$200,'SKU Dist'!F$1,FALSE),"")=0,"",IF($AT15&lt;&gt;"",VLOOKUP(CONCATENATE($AT15,$AU15,$AV15,$F15),'SKU Dist'!$E$2:$X$200,'SKU Dist'!F$1,FALSE),""))</f>
        <v/>
      </c>
      <c r="M15" s="778" t="str">
        <f>IF(IF($AT15&lt;&gt;"",VLOOKUP(CONCATENATE($AT15,$AU15,$AV15,$F15),'SKU Dist'!$E$2:$X$200,'SKU Dist'!G$1,FALSE),"")=0,"",IF($AT15&lt;&gt;"",VLOOKUP(CONCATENATE($AT15,$AU15,$AV15,$F15),'SKU Dist'!$E$2:$X$200,'SKU Dist'!G$1,FALSE),""))</f>
        <v/>
      </c>
      <c r="N15" s="778" t="str">
        <f>IF(IF($AT15&lt;&gt;"",VLOOKUP(CONCATENATE($AT15,$AU15,$AV15,$F15),'SKU Dist'!$E$2:$X$200,'SKU Dist'!H$1,FALSE),"")=0,"",IF($AT15&lt;&gt;"",VLOOKUP(CONCATENATE($AT15,$AU15,$AV15,$F15),'SKU Dist'!$E$2:$X$200,'SKU Dist'!H$1,FALSE),""))</f>
        <v/>
      </c>
      <c r="O15" s="778" t="str">
        <f>IF(IF($AT15&lt;&gt;"",VLOOKUP(CONCATENATE($AT15,$AU15,$AV15,$F15),'SKU Dist'!$E$2:$X$200,'SKU Dist'!I$1,FALSE),"")=0,"",IF($AT15&lt;&gt;"",VLOOKUP(CONCATENATE($AT15,$AU15,$AV15,$F15),'SKU Dist'!$E$2:$X$200,'SKU Dist'!I$1,FALSE),""))</f>
        <v/>
      </c>
      <c r="P15" s="778" t="str">
        <f>IF(IF($AT15&lt;&gt;"",VLOOKUP(CONCATENATE($AT15,$AU15,$AV15,$F15),'SKU Dist'!$E$2:$X$200,'SKU Dist'!J$1,FALSE),"")=0,"",IF($AT15&lt;&gt;"",VLOOKUP(CONCATENATE($AT15,$AU15,$AV15,$F15),'SKU Dist'!$E$2:$X$200,'SKU Dist'!J$1,FALSE),""))</f>
        <v/>
      </c>
      <c r="Q15" s="778" t="str">
        <f>IF(IF($AT15&lt;&gt;"",VLOOKUP(CONCATENATE($AT15,$AU15,$AV15,$F15),'SKU Dist'!$E$2:$X$200,'SKU Dist'!K$1,FALSE),"")=0,"",IF($AT15&lt;&gt;"",VLOOKUP(CONCATENATE($AT15,$AU15,$AV15,$F15),'SKU Dist'!$E$2:$X$200,'SKU Dist'!K$1,FALSE),""))</f>
        <v/>
      </c>
      <c r="R15" s="778" t="str">
        <f>IF(IF($AT15&lt;&gt;"",VLOOKUP(CONCATENATE($AT15,$AU15,$AV15,$F15),'SKU Dist'!$E$2:$X$200,'SKU Dist'!L$1,FALSE),"")=0,"",IF($AT15&lt;&gt;"",VLOOKUP(CONCATENATE($AT15,$AU15,$AV15,$F15),'SKU Dist'!$E$2:$X$200,'SKU Dist'!L$1,FALSE),""))</f>
        <v/>
      </c>
      <c r="S15" s="778" t="str">
        <f>IF(IF($AT15&lt;&gt;"",VLOOKUP(CONCATENATE($AT15,$AU15,$AV15,$F15),'SKU Dist'!$E$2:$X$200,'SKU Dist'!M$1,FALSE),"")=0,"",IF($AT15&lt;&gt;"",VLOOKUP(CONCATENATE($AT15,$AU15,$AV15,$F15),'SKU Dist'!$E$2:$X$200,'SKU Dist'!M$1,FALSE),""))</f>
        <v/>
      </c>
      <c r="T15" s="778" t="str">
        <f>IF(IF($AT15&lt;&gt;"",VLOOKUP(CONCATENATE($AT15,$AU15,$AV15,$F15),'SKU Dist'!$E$2:$X$200,'SKU Dist'!N$1,FALSE),"")=0,"",IF($AT15&lt;&gt;"",VLOOKUP(CONCATENATE($AT15,$AU15,$AV15,$F15),'SKU Dist'!$E$2:$X$200,'SKU Dist'!N$1,FALSE),""))</f>
        <v/>
      </c>
      <c r="U15" s="778" t="str">
        <f>IF(IF($AT15&lt;&gt;"",VLOOKUP(CONCATENATE($AT15,$AU15,$AV15,$F15),'SKU Dist'!$E$2:$X$200,'SKU Dist'!O$1,FALSE),"")=0,"",IF($AT15&lt;&gt;"",VLOOKUP(CONCATENATE($AT15,$AU15,$AV15,$F15),'SKU Dist'!$E$2:$X$200,'SKU Dist'!O$1,FALSE),""))</f>
        <v/>
      </c>
      <c r="V15" s="778" t="str">
        <f>IF(IF($AT15&lt;&gt;"",VLOOKUP(CONCATENATE($AT15,$AU15,$AV15,$F15),'SKU Dist'!$E$2:$X$200,'SKU Dist'!P$1,FALSE),"")=0,"",IF($AT15&lt;&gt;"",VLOOKUP(CONCATENATE($AT15,$AU15,$AV15,$F15),'SKU Dist'!$E$2:$X$200,'SKU Dist'!P$1,FALSE),""))</f>
        <v/>
      </c>
      <c r="W15" s="778" t="str">
        <f>IF(IF($AT15&lt;&gt;"",VLOOKUP(CONCATENATE($AT15,$AU15,$AV15,$F15),'SKU Dist'!$E$2:$X$200,'SKU Dist'!Q$1,FALSE),"")=0,"",IF($AT15&lt;&gt;"",VLOOKUP(CONCATENATE($AT15,$AU15,$AV15,$F15),'SKU Dist'!$E$2:$X$200,'SKU Dist'!Q$1,FALSE),""))</f>
        <v/>
      </c>
      <c r="X15" s="778" t="str">
        <f>IF(IF($AT15&lt;&gt;"",VLOOKUP(CONCATENATE($AT15,$AU15,$AV15,$F15),'SKU Dist'!$E$2:$X$200,'SKU Dist'!R$1,FALSE),"")=0,"",IF($AT15&lt;&gt;"",VLOOKUP(CONCATENATE($AT15,$AU15,$AV15,$F15),'SKU Dist'!$E$2:$X$200,'SKU Dist'!R$1,FALSE),""))</f>
        <v/>
      </c>
      <c r="Y15" s="778" t="str">
        <f>IF(IF($AT15&lt;&gt;"",VLOOKUP(CONCATENATE($AT15,$AU15,$AV15,$F15),'SKU Dist'!$E$2:$X$200,'SKU Dist'!S$1,FALSE),"")=0,"",IF($AT15&lt;&gt;"",VLOOKUP(CONCATENATE($AT15,$AU15,$AV15,$F15),'SKU Dist'!$E$2:$X$200,'SKU Dist'!S$1,FALSE),""))</f>
        <v/>
      </c>
      <c r="Z15" s="778" t="str">
        <f>IF(IF($AT15&lt;&gt;"",VLOOKUP(CONCATENATE($AT15,$AU15,$AV15,$F15),'SKU Dist'!$E$2:$X$200,'SKU Dist'!T$1,FALSE),"")=0,"",IF($AT15&lt;&gt;"",VLOOKUP(CONCATENATE($AT15,$AU15,$AV15,$F15),'SKU Dist'!$E$2:$X$200,'SKU Dist'!T$1,FALSE),""))</f>
        <v/>
      </c>
      <c r="AA15" s="778" t="str">
        <f>IF(IF($AT15&lt;&gt;"",VLOOKUP(CONCATENATE($AT15,$AU15,$AV15,$F15),'SKU Dist'!$E$2:$X$200,'SKU Dist'!U$1,FALSE),"")=0,"",IF($AT15&lt;&gt;"",VLOOKUP(CONCATENATE($AT15,$AU15,$AV15,$F15),'SKU Dist'!$E$2:$X$200,'SKU Dist'!U$1,FALSE),""))</f>
        <v/>
      </c>
      <c r="AB15" s="778" t="str">
        <f>IF(IF($AT15&lt;&gt;"",VLOOKUP(CONCATENATE($AT15,$AU15,$AV15,$F15),'SKU Dist'!$E$2:$X$200,'SKU Dist'!V$1,FALSE),"")=0,"",IF($AT15&lt;&gt;"",VLOOKUP(CONCATENATE($AT15,$AU15,$AV15,$F15),'SKU Dist'!$E$2:$X$200,'SKU Dist'!V$1,FALSE),""))</f>
        <v/>
      </c>
      <c r="AC15" s="778" t="str">
        <f>IF(IF($AT15&lt;&gt;"",VLOOKUP(CONCATENATE($AT15,$AU15,$AV15,$F15),'SKU Dist'!$E$2:$X$200,'SKU Dist'!W$1,FALSE),"")=0,"",IF($AT15&lt;&gt;"",VLOOKUP(CONCATENATE($AT15,$AU15,$AV15,$F15),'SKU Dist'!$E$2:$X$200,'SKU Dist'!W$1,FALSE),""))</f>
        <v/>
      </c>
      <c r="AD15" s="778"/>
      <c r="AE15" s="633"/>
      <c r="AF15" s="634"/>
      <c r="AG15" s="811">
        <f t="shared" ref="AG15" si="4">SUM(G15:AF15)</f>
        <v>0</v>
      </c>
      <c r="AH15" s="815">
        <v>190</v>
      </c>
      <c r="AI15" s="945">
        <f t="shared" ref="AI15" si="5">AG15*AH15</f>
        <v>0</v>
      </c>
      <c r="AJ15" s="928"/>
      <c r="AK15" s="5"/>
      <c r="AT15" s="222" t="str">
        <f t="shared" si="1"/>
        <v/>
      </c>
      <c r="AU15" s="206" t="s">
        <v>9</v>
      </c>
      <c r="AV15" s="152" t="s">
        <v>10</v>
      </c>
    </row>
    <row r="16" spans="1:48" s="39" customFormat="1" ht="15.75" x14ac:dyDescent="0.2">
      <c r="A16" s="658"/>
      <c r="B16" s="1029"/>
      <c r="C16" s="859" t="s">
        <v>254</v>
      </c>
      <c r="D16" s="870" t="s">
        <v>306</v>
      </c>
      <c r="E16" s="890">
        <v>3577</v>
      </c>
      <c r="F16" s="891" t="s">
        <v>68</v>
      </c>
      <c r="G16" s="645"/>
      <c r="H16" s="632"/>
      <c r="I16" s="632"/>
      <c r="J16" s="632"/>
      <c r="K16" s="632"/>
      <c r="L16" s="778" t="str">
        <f>IF(IF($AT16&lt;&gt;"",VLOOKUP(CONCATENATE($AT16,$AU16,$AV16,$F16),'SKU Dist'!$E$2:$X$200,'SKU Dist'!F$1,FALSE),"")=0,"",IF($AT16&lt;&gt;"",VLOOKUP(CONCATENATE($AT16,$AU16,$AV16,$F16),'SKU Dist'!$E$2:$X$200,'SKU Dist'!F$1,FALSE),""))</f>
        <v/>
      </c>
      <c r="M16" s="778" t="str">
        <f>IF(IF($AT16&lt;&gt;"",VLOOKUP(CONCATENATE($AT16,$AU16,$AV16,$F16),'SKU Dist'!$E$2:$X$200,'SKU Dist'!G$1,FALSE),"")=0,"",IF($AT16&lt;&gt;"",VLOOKUP(CONCATENATE($AT16,$AU16,$AV16,$F16),'SKU Dist'!$E$2:$X$200,'SKU Dist'!G$1,FALSE),""))</f>
        <v/>
      </c>
      <c r="N16" s="778" t="str">
        <f>IF(IF($AT16&lt;&gt;"",VLOOKUP(CONCATENATE($AT16,$AU16,$AV16,$F16),'SKU Dist'!$E$2:$X$200,'SKU Dist'!H$1,FALSE),"")=0,"",IF($AT16&lt;&gt;"",VLOOKUP(CONCATENATE($AT16,$AU16,$AV16,$F16),'SKU Dist'!$E$2:$X$200,'SKU Dist'!H$1,FALSE),""))</f>
        <v/>
      </c>
      <c r="O16" s="778" t="str">
        <f>IF(IF($AT16&lt;&gt;"",VLOOKUP(CONCATENATE($AT16,$AU16,$AV16,$F16),'SKU Dist'!$E$2:$X$200,'SKU Dist'!I$1,FALSE),"")=0,"",IF($AT16&lt;&gt;"",VLOOKUP(CONCATENATE($AT16,$AU16,$AV16,$F16),'SKU Dist'!$E$2:$X$200,'SKU Dist'!I$1,FALSE),""))</f>
        <v/>
      </c>
      <c r="P16" s="778" t="str">
        <f>IF(IF($AT16&lt;&gt;"",VLOOKUP(CONCATENATE($AT16,$AU16,$AV16,$F16),'SKU Dist'!$E$2:$X$200,'SKU Dist'!J$1,FALSE),"")=0,"",IF($AT16&lt;&gt;"",VLOOKUP(CONCATENATE($AT16,$AU16,$AV16,$F16),'SKU Dist'!$E$2:$X$200,'SKU Dist'!J$1,FALSE),""))</f>
        <v/>
      </c>
      <c r="Q16" s="778" t="str">
        <f>IF(IF($AT16&lt;&gt;"",VLOOKUP(CONCATENATE($AT16,$AU16,$AV16,$F16),'SKU Dist'!$E$2:$X$200,'SKU Dist'!K$1,FALSE),"")=0,"",IF($AT16&lt;&gt;"",VLOOKUP(CONCATENATE($AT16,$AU16,$AV16,$F16),'SKU Dist'!$E$2:$X$200,'SKU Dist'!K$1,FALSE),""))</f>
        <v/>
      </c>
      <c r="R16" s="778" t="str">
        <f>IF(IF($AT16&lt;&gt;"",VLOOKUP(CONCATENATE($AT16,$AU16,$AV16,$F16),'SKU Dist'!$E$2:$X$200,'SKU Dist'!L$1,FALSE),"")=0,"",IF($AT16&lt;&gt;"",VLOOKUP(CONCATENATE($AT16,$AU16,$AV16,$F16),'SKU Dist'!$E$2:$X$200,'SKU Dist'!L$1,FALSE),""))</f>
        <v/>
      </c>
      <c r="S16" s="778" t="str">
        <f>IF(IF($AT16&lt;&gt;"",VLOOKUP(CONCATENATE($AT16,$AU16,$AV16,$F16),'SKU Dist'!$E$2:$X$200,'SKU Dist'!M$1,FALSE),"")=0,"",IF($AT16&lt;&gt;"",VLOOKUP(CONCATENATE($AT16,$AU16,$AV16,$F16),'SKU Dist'!$E$2:$X$200,'SKU Dist'!M$1,FALSE),""))</f>
        <v/>
      </c>
      <c r="T16" s="778" t="str">
        <f>IF(IF($AT16&lt;&gt;"",VLOOKUP(CONCATENATE($AT16,$AU16,$AV16,$F16),'SKU Dist'!$E$2:$X$200,'SKU Dist'!N$1,FALSE),"")=0,"",IF($AT16&lt;&gt;"",VLOOKUP(CONCATENATE($AT16,$AU16,$AV16,$F16),'SKU Dist'!$E$2:$X$200,'SKU Dist'!N$1,FALSE),""))</f>
        <v/>
      </c>
      <c r="U16" s="778" t="str">
        <f>IF(IF($AT16&lt;&gt;"",VLOOKUP(CONCATENATE($AT16,$AU16,$AV16,$F16),'SKU Dist'!$E$2:$X$200,'SKU Dist'!O$1,FALSE),"")=0,"",IF($AT16&lt;&gt;"",VLOOKUP(CONCATENATE($AT16,$AU16,$AV16,$F16),'SKU Dist'!$E$2:$X$200,'SKU Dist'!O$1,FALSE),""))</f>
        <v/>
      </c>
      <c r="V16" s="778" t="str">
        <f>IF(IF($AT16&lt;&gt;"",VLOOKUP(CONCATENATE($AT16,$AU16,$AV16,$F16),'SKU Dist'!$E$2:$X$200,'SKU Dist'!P$1,FALSE),"")=0,"",IF($AT16&lt;&gt;"",VLOOKUP(CONCATENATE($AT16,$AU16,$AV16,$F16),'SKU Dist'!$E$2:$X$200,'SKU Dist'!P$1,FALSE),""))</f>
        <v/>
      </c>
      <c r="W16" s="778" t="str">
        <f>IF(IF($AT16&lt;&gt;"",VLOOKUP(CONCATENATE($AT16,$AU16,$AV16,$F16),'SKU Dist'!$E$2:$X$200,'SKU Dist'!Q$1,FALSE),"")=0,"",IF($AT16&lt;&gt;"",VLOOKUP(CONCATENATE($AT16,$AU16,$AV16,$F16),'SKU Dist'!$E$2:$X$200,'SKU Dist'!Q$1,FALSE),""))</f>
        <v/>
      </c>
      <c r="X16" s="778" t="str">
        <f>IF(IF($AT16&lt;&gt;"",VLOOKUP(CONCATENATE($AT16,$AU16,$AV16,$F16),'SKU Dist'!$E$2:$X$200,'SKU Dist'!R$1,FALSE),"")=0,"",IF($AT16&lt;&gt;"",VLOOKUP(CONCATENATE($AT16,$AU16,$AV16,$F16),'SKU Dist'!$E$2:$X$200,'SKU Dist'!R$1,FALSE),""))</f>
        <v/>
      </c>
      <c r="Y16" s="778" t="str">
        <f>IF(IF($AT16&lt;&gt;"",VLOOKUP(CONCATENATE($AT16,$AU16,$AV16,$F16),'SKU Dist'!$E$2:$X$200,'SKU Dist'!S$1,FALSE),"")=0,"",IF($AT16&lt;&gt;"",VLOOKUP(CONCATENATE($AT16,$AU16,$AV16,$F16),'SKU Dist'!$E$2:$X$200,'SKU Dist'!S$1,FALSE),""))</f>
        <v/>
      </c>
      <c r="Z16" s="778" t="str">
        <f>IF(IF($AT16&lt;&gt;"",VLOOKUP(CONCATENATE($AT16,$AU16,$AV16,$F16),'SKU Dist'!$E$2:$X$200,'SKU Dist'!T$1,FALSE),"")=0,"",IF($AT16&lt;&gt;"",VLOOKUP(CONCATENATE($AT16,$AU16,$AV16,$F16),'SKU Dist'!$E$2:$X$200,'SKU Dist'!T$1,FALSE),""))</f>
        <v/>
      </c>
      <c r="AA16" s="778" t="str">
        <f>IF(IF($AT16&lt;&gt;"",VLOOKUP(CONCATENATE($AT16,$AU16,$AV16,$F16),'SKU Dist'!$E$2:$X$200,'SKU Dist'!U$1,FALSE),"")=0,"",IF($AT16&lt;&gt;"",VLOOKUP(CONCATENATE($AT16,$AU16,$AV16,$F16),'SKU Dist'!$E$2:$X$200,'SKU Dist'!U$1,FALSE),""))</f>
        <v/>
      </c>
      <c r="AB16" s="778" t="str">
        <f>IF(IF($AT16&lt;&gt;"",VLOOKUP(CONCATENATE($AT16,$AU16,$AV16,$F16),'SKU Dist'!$E$2:$X$200,'SKU Dist'!V$1,FALSE),"")=0,"",IF($AT16&lt;&gt;"",VLOOKUP(CONCATENATE($AT16,$AU16,$AV16,$F16),'SKU Dist'!$E$2:$X$200,'SKU Dist'!V$1,FALSE),""))</f>
        <v/>
      </c>
      <c r="AC16" s="633"/>
      <c r="AD16" s="633"/>
      <c r="AE16" s="633"/>
      <c r="AF16" s="634"/>
      <c r="AG16" s="811">
        <f t="shared" ref="AG16" si="6">SUM(G16:AF16)</f>
        <v>0</v>
      </c>
      <c r="AH16" s="815">
        <v>190</v>
      </c>
      <c r="AI16" s="945">
        <f t="shared" ref="AI16" si="7">AG16*AH16</f>
        <v>0</v>
      </c>
      <c r="AJ16" s="928"/>
      <c r="AK16" s="5"/>
      <c r="AT16" s="222" t="str">
        <f t="shared" ref="AT16" si="8">IF(E16=E15,AT15,IF(B16="","",B16))</f>
        <v/>
      </c>
      <c r="AU16" s="206" t="s">
        <v>9</v>
      </c>
      <c r="AV16" s="152" t="s">
        <v>10</v>
      </c>
    </row>
    <row r="17" spans="1:48" s="39" customFormat="1" ht="15.75" x14ac:dyDescent="0.2">
      <c r="A17" s="658"/>
      <c r="B17" s="1118"/>
      <c r="C17" s="859" t="s">
        <v>254</v>
      </c>
      <c r="D17" s="870" t="s">
        <v>306</v>
      </c>
      <c r="E17" s="892">
        <v>3577</v>
      </c>
      <c r="F17" s="891" t="s">
        <v>92</v>
      </c>
      <c r="G17" s="645"/>
      <c r="H17" s="632"/>
      <c r="I17" s="632"/>
      <c r="J17" s="632"/>
      <c r="K17" s="632"/>
      <c r="L17" s="778" t="str">
        <f>IF(IF($AT17&lt;&gt;"",VLOOKUP(CONCATENATE($AT17,$AU17,$AV17,$F17),'SKU Dist'!$E$2:$X$200,'SKU Dist'!F$1,FALSE),"")=0,"",IF($AT17&lt;&gt;"",VLOOKUP(CONCATENATE($AT17,$AU17,$AV17,$F17),'SKU Dist'!$E$2:$X$200,'SKU Dist'!F$1,FALSE),""))</f>
        <v/>
      </c>
      <c r="M17" s="778" t="str">
        <f>IF(IF($AT17&lt;&gt;"",VLOOKUP(CONCATENATE($AT17,$AU17,$AV17,$F17),'SKU Dist'!$E$2:$X$200,'SKU Dist'!G$1,FALSE),"")=0,"",IF($AT17&lt;&gt;"",VLOOKUP(CONCATENATE($AT17,$AU17,$AV17,$F17),'SKU Dist'!$E$2:$X$200,'SKU Dist'!G$1,FALSE),""))</f>
        <v/>
      </c>
      <c r="N17" s="778" t="str">
        <f>IF(IF($AT17&lt;&gt;"",VLOOKUP(CONCATENATE($AT17,$AU17,$AV17,$F17),'SKU Dist'!$E$2:$X$200,'SKU Dist'!H$1,FALSE),"")=0,"",IF($AT17&lt;&gt;"",VLOOKUP(CONCATENATE($AT17,$AU17,$AV17,$F17),'SKU Dist'!$E$2:$X$200,'SKU Dist'!H$1,FALSE),""))</f>
        <v/>
      </c>
      <c r="O17" s="778" t="str">
        <f>IF(IF($AT17&lt;&gt;"",VLOOKUP(CONCATENATE($AT17,$AU17,$AV17,$F17),'SKU Dist'!$E$2:$X$200,'SKU Dist'!I$1,FALSE),"")=0,"",IF($AT17&lt;&gt;"",VLOOKUP(CONCATENATE($AT17,$AU17,$AV17,$F17),'SKU Dist'!$E$2:$X$200,'SKU Dist'!I$1,FALSE),""))</f>
        <v/>
      </c>
      <c r="P17" s="778" t="str">
        <f>IF(IF($AT17&lt;&gt;"",VLOOKUP(CONCATENATE($AT17,$AU17,$AV17,$F17),'SKU Dist'!$E$2:$X$200,'SKU Dist'!J$1,FALSE),"")=0,"",IF($AT17&lt;&gt;"",VLOOKUP(CONCATENATE($AT17,$AU17,$AV17,$F17),'SKU Dist'!$E$2:$X$200,'SKU Dist'!J$1,FALSE),""))</f>
        <v/>
      </c>
      <c r="Q17" s="778" t="str">
        <f>IF(IF($AT17&lt;&gt;"",VLOOKUP(CONCATENATE($AT17,$AU17,$AV17,$F17),'SKU Dist'!$E$2:$X$200,'SKU Dist'!K$1,FALSE),"")=0,"",IF($AT17&lt;&gt;"",VLOOKUP(CONCATENATE($AT17,$AU17,$AV17,$F17),'SKU Dist'!$E$2:$X$200,'SKU Dist'!K$1,FALSE),""))</f>
        <v/>
      </c>
      <c r="R17" s="778" t="str">
        <f>IF(IF($AT17&lt;&gt;"",VLOOKUP(CONCATENATE($AT17,$AU17,$AV17,$F17),'SKU Dist'!$E$2:$X$200,'SKU Dist'!L$1,FALSE),"")=0,"",IF($AT17&lt;&gt;"",VLOOKUP(CONCATENATE($AT17,$AU17,$AV17,$F17),'SKU Dist'!$E$2:$X$200,'SKU Dist'!L$1,FALSE),""))</f>
        <v/>
      </c>
      <c r="S17" s="778" t="str">
        <f>IF(IF($AT17&lt;&gt;"",VLOOKUP(CONCATENATE($AT17,$AU17,$AV17,$F17),'SKU Dist'!$E$2:$X$200,'SKU Dist'!M$1,FALSE),"")=0,"",IF($AT17&lt;&gt;"",VLOOKUP(CONCATENATE($AT17,$AU17,$AV17,$F17),'SKU Dist'!$E$2:$X$200,'SKU Dist'!M$1,FALSE),""))</f>
        <v/>
      </c>
      <c r="T17" s="778" t="str">
        <f>IF(IF($AT17&lt;&gt;"",VLOOKUP(CONCATENATE($AT17,$AU17,$AV17,$F17),'SKU Dist'!$E$2:$X$200,'SKU Dist'!N$1,FALSE),"")=0,"",IF($AT17&lt;&gt;"",VLOOKUP(CONCATENATE($AT17,$AU17,$AV17,$F17),'SKU Dist'!$E$2:$X$200,'SKU Dist'!N$1,FALSE),""))</f>
        <v/>
      </c>
      <c r="U17" s="778" t="str">
        <f>IF(IF($AT17&lt;&gt;"",VLOOKUP(CONCATENATE($AT17,$AU17,$AV17,$F17),'SKU Dist'!$E$2:$X$200,'SKU Dist'!O$1,FALSE),"")=0,"",IF($AT17&lt;&gt;"",VLOOKUP(CONCATENATE($AT17,$AU17,$AV17,$F17),'SKU Dist'!$E$2:$X$200,'SKU Dist'!O$1,FALSE),""))</f>
        <v/>
      </c>
      <c r="V17" s="778" t="str">
        <f>IF(IF($AT17&lt;&gt;"",VLOOKUP(CONCATENATE($AT17,$AU17,$AV17,$F17),'SKU Dist'!$E$2:$X$200,'SKU Dist'!P$1,FALSE),"")=0,"",IF($AT17&lt;&gt;"",VLOOKUP(CONCATENATE($AT17,$AU17,$AV17,$F17),'SKU Dist'!$E$2:$X$200,'SKU Dist'!P$1,FALSE),""))</f>
        <v/>
      </c>
      <c r="W17" s="778" t="str">
        <f>IF(IF($AT17&lt;&gt;"",VLOOKUP(CONCATENATE($AT17,$AU17,$AV17,$F17),'SKU Dist'!$E$2:$X$200,'SKU Dist'!Q$1,FALSE),"")=0,"",IF($AT17&lt;&gt;"",VLOOKUP(CONCATENATE($AT17,$AU17,$AV17,$F17),'SKU Dist'!$E$2:$X$200,'SKU Dist'!Q$1,FALSE),""))</f>
        <v/>
      </c>
      <c r="X17" s="778" t="str">
        <f>IF(IF($AT17&lt;&gt;"",VLOOKUP(CONCATENATE($AT17,$AU17,$AV17,$F17),'SKU Dist'!$E$2:$X$200,'SKU Dist'!R$1,FALSE),"")=0,"",IF($AT17&lt;&gt;"",VLOOKUP(CONCATENATE($AT17,$AU17,$AV17,$F17),'SKU Dist'!$E$2:$X$200,'SKU Dist'!R$1,FALSE),""))</f>
        <v/>
      </c>
      <c r="Y17" s="778" t="str">
        <f>IF(IF($AT17&lt;&gt;"",VLOOKUP(CONCATENATE($AT17,$AU17,$AV17,$F17),'SKU Dist'!$E$2:$X$200,'SKU Dist'!S$1,FALSE),"")=0,"",IF($AT17&lt;&gt;"",VLOOKUP(CONCATENATE($AT17,$AU17,$AV17,$F17),'SKU Dist'!$E$2:$X$200,'SKU Dist'!S$1,FALSE),""))</f>
        <v/>
      </c>
      <c r="Z17" s="778" t="str">
        <f>IF(IF($AT17&lt;&gt;"",VLOOKUP(CONCATENATE($AT17,$AU17,$AV17,$F17),'SKU Dist'!$E$2:$X$200,'SKU Dist'!T$1,FALSE),"")=0,"",IF($AT17&lt;&gt;"",VLOOKUP(CONCATENATE($AT17,$AU17,$AV17,$F17),'SKU Dist'!$E$2:$X$200,'SKU Dist'!T$1,FALSE),""))</f>
        <v/>
      </c>
      <c r="AA17" s="778" t="str">
        <f>IF(IF($AT17&lt;&gt;"",VLOOKUP(CONCATENATE($AT17,$AU17,$AV17,$F17),'SKU Dist'!$E$2:$X$200,'SKU Dist'!U$1,FALSE),"")=0,"",IF($AT17&lt;&gt;"",VLOOKUP(CONCATENATE($AT17,$AU17,$AV17,$F17),'SKU Dist'!$E$2:$X$200,'SKU Dist'!U$1,FALSE),""))</f>
        <v/>
      </c>
      <c r="AB17" s="778" t="str">
        <f>IF(IF($AT17&lt;&gt;"",VLOOKUP(CONCATENATE($AT17,$AU17,$AV17,$F17),'SKU Dist'!$E$2:$X$200,'SKU Dist'!V$1,FALSE),"")=0,"",IF($AT17&lt;&gt;"",VLOOKUP(CONCATENATE($AT17,$AU17,$AV17,$F17),'SKU Dist'!$E$2:$X$200,'SKU Dist'!V$1,FALSE),""))</f>
        <v/>
      </c>
      <c r="AC17" s="633"/>
      <c r="AD17" s="633"/>
      <c r="AE17" s="633"/>
      <c r="AF17" s="634"/>
      <c r="AG17" s="811">
        <f t="shared" ref="AG17" si="9">SUM(G17:AF17)</f>
        <v>0</v>
      </c>
      <c r="AH17" s="815">
        <v>190</v>
      </c>
      <c r="AI17" s="945">
        <f t="shared" ref="AI17:AI19" si="10">AG17*AH17</f>
        <v>0</v>
      </c>
      <c r="AJ17" s="928"/>
      <c r="AK17" s="5"/>
      <c r="AT17" s="222" t="str">
        <f t="shared" ref="AT17:AT19" si="11">IF(E17=E16,AT16,IF(B17="","",B17))</f>
        <v/>
      </c>
      <c r="AU17" s="206" t="s">
        <v>9</v>
      </c>
      <c r="AV17" s="152" t="s">
        <v>10</v>
      </c>
    </row>
    <row r="18" spans="1:48" s="39" customFormat="1" ht="15.75" x14ac:dyDescent="0.2">
      <c r="A18" s="658"/>
      <c r="B18" s="1031"/>
      <c r="C18" s="858" t="s">
        <v>254</v>
      </c>
      <c r="D18" s="869" t="s">
        <v>306</v>
      </c>
      <c r="E18" s="888">
        <v>3580</v>
      </c>
      <c r="F18" s="889" t="s">
        <v>35</v>
      </c>
      <c r="G18" s="645"/>
      <c r="H18" s="632"/>
      <c r="I18" s="632"/>
      <c r="J18" s="632"/>
      <c r="K18" s="632"/>
      <c r="L18" s="779" t="str">
        <f>IF(IF($AT18&lt;&gt;"",VLOOKUP(CONCATENATE($AT18,$AU18,$AV18,$F18),'SKU Dist'!$E$2:$X$200,'SKU Dist'!F$1,FALSE),"")=0,"",IF($AT18&lt;&gt;"",VLOOKUP(CONCATENATE($AT18,$AU18,$AV18,$F18),'SKU Dist'!$E$2:$X$200,'SKU Dist'!F$1,FALSE),""))</f>
        <v/>
      </c>
      <c r="M18" s="779" t="str">
        <f>IF(IF($AT18&lt;&gt;"",VLOOKUP(CONCATENATE($AT18,$AU18,$AV18,$F18),'SKU Dist'!$E$2:$X$200,'SKU Dist'!G$1,FALSE),"")=0,"",IF($AT18&lt;&gt;"",VLOOKUP(CONCATENATE($AT18,$AU18,$AV18,$F18),'SKU Dist'!$E$2:$X$200,'SKU Dist'!G$1,FALSE),""))</f>
        <v/>
      </c>
      <c r="N18" s="779" t="str">
        <f>IF(IF($AT18&lt;&gt;"",VLOOKUP(CONCATENATE($AT18,$AU18,$AV18,$F18),'SKU Dist'!$E$2:$X$200,'SKU Dist'!H$1,FALSE),"")=0,"",IF($AT18&lt;&gt;"",VLOOKUP(CONCATENATE($AT18,$AU18,$AV18,$F18),'SKU Dist'!$E$2:$X$200,'SKU Dist'!H$1,FALSE),""))</f>
        <v/>
      </c>
      <c r="O18" s="779" t="str">
        <f>IF(IF($AT18&lt;&gt;"",VLOOKUP(CONCATENATE($AT18,$AU18,$AV18,$F18),'SKU Dist'!$E$2:$X$200,'SKU Dist'!I$1,FALSE),"")=0,"",IF($AT18&lt;&gt;"",VLOOKUP(CONCATENATE($AT18,$AU18,$AV18,$F18),'SKU Dist'!$E$2:$X$200,'SKU Dist'!I$1,FALSE),""))</f>
        <v/>
      </c>
      <c r="P18" s="779" t="str">
        <f>IF(IF($AT18&lt;&gt;"",VLOOKUP(CONCATENATE($AT18,$AU18,$AV18,$F18),'SKU Dist'!$E$2:$X$200,'SKU Dist'!J$1,FALSE),"")=0,"",IF($AT18&lt;&gt;"",VLOOKUP(CONCATENATE($AT18,$AU18,$AV18,$F18),'SKU Dist'!$E$2:$X$200,'SKU Dist'!J$1,FALSE),""))</f>
        <v/>
      </c>
      <c r="Q18" s="779" t="str">
        <f>IF(IF($AT18&lt;&gt;"",VLOOKUP(CONCATENATE($AT18,$AU18,$AV18,$F18),'SKU Dist'!$E$2:$X$200,'SKU Dist'!K$1,FALSE),"")=0,"",IF($AT18&lt;&gt;"",VLOOKUP(CONCATENATE($AT18,$AU18,$AV18,$F18),'SKU Dist'!$E$2:$X$200,'SKU Dist'!K$1,FALSE),""))</f>
        <v/>
      </c>
      <c r="R18" s="779" t="str">
        <f>IF(IF($AT18&lt;&gt;"",VLOOKUP(CONCATENATE($AT18,$AU18,$AV18,$F18),'SKU Dist'!$E$2:$X$200,'SKU Dist'!L$1,FALSE),"")=0,"",IF($AT18&lt;&gt;"",VLOOKUP(CONCATENATE($AT18,$AU18,$AV18,$F18),'SKU Dist'!$E$2:$X$200,'SKU Dist'!L$1,FALSE),""))</f>
        <v/>
      </c>
      <c r="S18" s="779" t="str">
        <f>IF(IF($AT18&lt;&gt;"",VLOOKUP(CONCATENATE($AT18,$AU18,$AV18,$F18),'SKU Dist'!$E$2:$X$200,'SKU Dist'!M$1,FALSE),"")=0,"",IF($AT18&lt;&gt;"",VLOOKUP(CONCATENATE($AT18,$AU18,$AV18,$F18),'SKU Dist'!$E$2:$X$200,'SKU Dist'!M$1,FALSE),""))</f>
        <v/>
      </c>
      <c r="T18" s="779" t="str">
        <f>IF(IF($AT18&lt;&gt;"",VLOOKUP(CONCATENATE($AT18,$AU18,$AV18,$F18),'SKU Dist'!$E$2:$X$200,'SKU Dist'!N$1,FALSE),"")=0,"",IF($AT18&lt;&gt;"",VLOOKUP(CONCATENATE($AT18,$AU18,$AV18,$F18),'SKU Dist'!$E$2:$X$200,'SKU Dist'!N$1,FALSE),""))</f>
        <v/>
      </c>
      <c r="U18" s="779" t="str">
        <f>IF(IF($AT18&lt;&gt;"",VLOOKUP(CONCATENATE($AT18,$AU18,$AV18,$F18),'SKU Dist'!$E$2:$X$200,'SKU Dist'!O$1,FALSE),"")=0,"",IF($AT18&lt;&gt;"",VLOOKUP(CONCATENATE($AT18,$AU18,$AV18,$F18),'SKU Dist'!$E$2:$X$200,'SKU Dist'!O$1,FALSE),""))</f>
        <v/>
      </c>
      <c r="V18" s="779" t="str">
        <f>IF(IF($AT18&lt;&gt;"",VLOOKUP(CONCATENATE($AT18,$AU18,$AV18,$F18),'SKU Dist'!$E$2:$X$200,'SKU Dist'!P$1,FALSE),"")=0,"",IF($AT18&lt;&gt;"",VLOOKUP(CONCATENATE($AT18,$AU18,$AV18,$F18),'SKU Dist'!$E$2:$X$200,'SKU Dist'!P$1,FALSE),""))</f>
        <v/>
      </c>
      <c r="W18" s="779" t="str">
        <f>IF(IF($AT18&lt;&gt;"",VLOOKUP(CONCATENATE($AT18,$AU18,$AV18,$F18),'SKU Dist'!$E$2:$X$200,'SKU Dist'!Q$1,FALSE),"")=0,"",IF($AT18&lt;&gt;"",VLOOKUP(CONCATENATE($AT18,$AU18,$AV18,$F18),'SKU Dist'!$E$2:$X$200,'SKU Dist'!Q$1,FALSE),""))</f>
        <v/>
      </c>
      <c r="X18" s="779" t="str">
        <f>IF(IF($AT18&lt;&gt;"",VLOOKUP(CONCATENATE($AT18,$AU18,$AV18,$F18),'SKU Dist'!$E$2:$X$200,'SKU Dist'!R$1,FALSE),"")=0,"",IF($AT18&lt;&gt;"",VLOOKUP(CONCATENATE($AT18,$AU18,$AV18,$F18),'SKU Dist'!$E$2:$X$200,'SKU Dist'!R$1,FALSE),""))</f>
        <v/>
      </c>
      <c r="Y18" s="779" t="str">
        <f>IF(IF($AT18&lt;&gt;"",VLOOKUP(CONCATENATE($AT18,$AU18,$AV18,$F18),'SKU Dist'!$E$2:$X$200,'SKU Dist'!S$1,FALSE),"")=0,"",IF($AT18&lt;&gt;"",VLOOKUP(CONCATENATE($AT18,$AU18,$AV18,$F18),'SKU Dist'!$E$2:$X$200,'SKU Dist'!S$1,FALSE),""))</f>
        <v/>
      </c>
      <c r="Z18" s="779" t="str">
        <f>IF(IF($AT18&lt;&gt;"",VLOOKUP(CONCATENATE($AT18,$AU18,$AV18,$F18),'SKU Dist'!$E$2:$X$200,'SKU Dist'!T$1,FALSE),"")=0,"",IF($AT18&lt;&gt;"",VLOOKUP(CONCATENATE($AT18,$AU18,$AV18,$F18),'SKU Dist'!$E$2:$X$200,'SKU Dist'!T$1,FALSE),""))</f>
        <v/>
      </c>
      <c r="AA18" s="779" t="str">
        <f>IF(IF($AT18&lt;&gt;"",VLOOKUP(CONCATENATE($AT18,$AU18,$AV18,$F18),'SKU Dist'!$E$2:$X$200,'SKU Dist'!U$1,FALSE),"")=0,"",IF($AT18&lt;&gt;"",VLOOKUP(CONCATENATE($AT18,$AU18,$AV18,$F18),'SKU Dist'!$E$2:$X$200,'SKU Dist'!U$1,FALSE),""))</f>
        <v/>
      </c>
      <c r="AB18" s="779" t="str">
        <f>IF(IF($AT18&lt;&gt;"",VLOOKUP(CONCATENATE($AT18,$AU18,$AV18,$F18),'SKU Dist'!$E$2:$X$200,'SKU Dist'!V$1,FALSE),"")=0,"",IF($AT18&lt;&gt;"",VLOOKUP(CONCATENATE($AT18,$AU18,$AV18,$F18),'SKU Dist'!$E$2:$X$200,'SKU Dist'!V$1,FALSE),""))</f>
        <v/>
      </c>
      <c r="AC18" s="779" t="str">
        <f>IF(IF($AT18&lt;&gt;"",VLOOKUP(CONCATENATE($AT18,$AU18,$AV18,$F18),'SKU Dist'!$E$2:$X$200,'SKU Dist'!W$1,FALSE),"")=0,"",IF($AT18&lt;&gt;"",VLOOKUP(CONCATENATE($AT18,$AU18,$AV18,$F18),'SKU Dist'!$E$2:$X$200,'SKU Dist'!W$1,FALSE),""))</f>
        <v/>
      </c>
      <c r="AD18" s="779"/>
      <c r="AE18" s="633"/>
      <c r="AF18" s="634"/>
      <c r="AG18" s="808">
        <f t="shared" ref="AG18" si="12">SUM(G18:AF18)</f>
        <v>0</v>
      </c>
      <c r="AH18" s="820">
        <v>190</v>
      </c>
      <c r="AI18" s="944">
        <f t="shared" si="10"/>
        <v>0</v>
      </c>
      <c r="AJ18" s="927"/>
      <c r="AK18" s="5"/>
      <c r="AT18" s="222" t="str">
        <f t="shared" si="11"/>
        <v/>
      </c>
      <c r="AU18" s="206" t="s">
        <v>9</v>
      </c>
      <c r="AV18" s="152" t="s">
        <v>10</v>
      </c>
    </row>
    <row r="19" spans="1:48" s="39" customFormat="1" ht="15.75" x14ac:dyDescent="0.2">
      <c r="A19" s="658"/>
      <c r="B19" s="1031"/>
      <c r="C19" s="858" t="s">
        <v>254</v>
      </c>
      <c r="D19" s="869" t="s">
        <v>306</v>
      </c>
      <c r="E19" s="888">
        <v>3580</v>
      </c>
      <c r="F19" s="889" t="s">
        <v>68</v>
      </c>
      <c r="G19" s="645"/>
      <c r="H19" s="632"/>
      <c r="I19" s="632"/>
      <c r="J19" s="632"/>
      <c r="K19" s="632"/>
      <c r="L19" s="779" t="str">
        <f>IF(IF($AT19&lt;&gt;"",VLOOKUP(CONCATENATE($AT19,$AU19,$AV19,$F19),'SKU Dist'!$E$2:$X$200,'SKU Dist'!F$1,FALSE),"")=0,"",IF($AT19&lt;&gt;"",VLOOKUP(CONCATENATE($AT19,$AU19,$AV19,$F19),'SKU Dist'!$E$2:$X$200,'SKU Dist'!F$1,FALSE),""))</f>
        <v/>
      </c>
      <c r="M19" s="779" t="str">
        <f>IF(IF($AT19&lt;&gt;"",VLOOKUP(CONCATENATE($AT19,$AU19,$AV19,$F19),'SKU Dist'!$E$2:$X$200,'SKU Dist'!G$1,FALSE),"")=0,"",IF($AT19&lt;&gt;"",VLOOKUP(CONCATENATE($AT19,$AU19,$AV19,$F19),'SKU Dist'!$E$2:$X$200,'SKU Dist'!G$1,FALSE),""))</f>
        <v/>
      </c>
      <c r="N19" s="779" t="str">
        <f>IF(IF($AT19&lt;&gt;"",VLOOKUP(CONCATENATE($AT19,$AU19,$AV19,$F19),'SKU Dist'!$E$2:$X$200,'SKU Dist'!H$1,FALSE),"")=0,"",IF($AT19&lt;&gt;"",VLOOKUP(CONCATENATE($AT19,$AU19,$AV19,$F19),'SKU Dist'!$E$2:$X$200,'SKU Dist'!H$1,FALSE),""))</f>
        <v/>
      </c>
      <c r="O19" s="779" t="str">
        <f>IF(IF($AT19&lt;&gt;"",VLOOKUP(CONCATENATE($AT19,$AU19,$AV19,$F19),'SKU Dist'!$E$2:$X$200,'SKU Dist'!I$1,FALSE),"")=0,"",IF($AT19&lt;&gt;"",VLOOKUP(CONCATENATE($AT19,$AU19,$AV19,$F19),'SKU Dist'!$E$2:$X$200,'SKU Dist'!I$1,FALSE),""))</f>
        <v/>
      </c>
      <c r="P19" s="779" t="str">
        <f>IF(IF($AT19&lt;&gt;"",VLOOKUP(CONCATENATE($AT19,$AU19,$AV19,$F19),'SKU Dist'!$E$2:$X$200,'SKU Dist'!J$1,FALSE),"")=0,"",IF($AT19&lt;&gt;"",VLOOKUP(CONCATENATE($AT19,$AU19,$AV19,$F19),'SKU Dist'!$E$2:$X$200,'SKU Dist'!J$1,FALSE),""))</f>
        <v/>
      </c>
      <c r="Q19" s="779" t="str">
        <f>IF(IF($AT19&lt;&gt;"",VLOOKUP(CONCATENATE($AT19,$AU19,$AV19,$F19),'SKU Dist'!$E$2:$X$200,'SKU Dist'!K$1,FALSE),"")=0,"",IF($AT19&lt;&gt;"",VLOOKUP(CONCATENATE($AT19,$AU19,$AV19,$F19),'SKU Dist'!$E$2:$X$200,'SKU Dist'!K$1,FALSE),""))</f>
        <v/>
      </c>
      <c r="R19" s="779" t="str">
        <f>IF(IF($AT19&lt;&gt;"",VLOOKUP(CONCATENATE($AT19,$AU19,$AV19,$F19),'SKU Dist'!$E$2:$X$200,'SKU Dist'!L$1,FALSE),"")=0,"",IF($AT19&lt;&gt;"",VLOOKUP(CONCATENATE($AT19,$AU19,$AV19,$F19),'SKU Dist'!$E$2:$X$200,'SKU Dist'!L$1,FALSE),""))</f>
        <v/>
      </c>
      <c r="S19" s="779" t="str">
        <f>IF(IF($AT19&lt;&gt;"",VLOOKUP(CONCATENATE($AT19,$AU19,$AV19,$F19),'SKU Dist'!$E$2:$X$200,'SKU Dist'!M$1,FALSE),"")=0,"",IF($AT19&lt;&gt;"",VLOOKUP(CONCATENATE($AT19,$AU19,$AV19,$F19),'SKU Dist'!$E$2:$X$200,'SKU Dist'!M$1,FALSE),""))</f>
        <v/>
      </c>
      <c r="T19" s="779" t="str">
        <f>IF(IF($AT19&lt;&gt;"",VLOOKUP(CONCATENATE($AT19,$AU19,$AV19,$F19),'SKU Dist'!$E$2:$X$200,'SKU Dist'!N$1,FALSE),"")=0,"",IF($AT19&lt;&gt;"",VLOOKUP(CONCATENATE($AT19,$AU19,$AV19,$F19),'SKU Dist'!$E$2:$X$200,'SKU Dist'!N$1,FALSE),""))</f>
        <v/>
      </c>
      <c r="U19" s="779" t="str">
        <f>IF(IF($AT19&lt;&gt;"",VLOOKUP(CONCATENATE($AT19,$AU19,$AV19,$F19),'SKU Dist'!$E$2:$X$200,'SKU Dist'!O$1,FALSE),"")=0,"",IF($AT19&lt;&gt;"",VLOOKUP(CONCATENATE($AT19,$AU19,$AV19,$F19),'SKU Dist'!$E$2:$X$200,'SKU Dist'!O$1,FALSE),""))</f>
        <v/>
      </c>
      <c r="V19" s="779" t="str">
        <f>IF(IF($AT19&lt;&gt;"",VLOOKUP(CONCATENATE($AT19,$AU19,$AV19,$F19),'SKU Dist'!$E$2:$X$200,'SKU Dist'!P$1,FALSE),"")=0,"",IF($AT19&lt;&gt;"",VLOOKUP(CONCATENATE($AT19,$AU19,$AV19,$F19),'SKU Dist'!$E$2:$X$200,'SKU Dist'!P$1,FALSE),""))</f>
        <v/>
      </c>
      <c r="W19" s="779" t="str">
        <f>IF(IF($AT19&lt;&gt;"",VLOOKUP(CONCATENATE($AT19,$AU19,$AV19,$F19),'SKU Dist'!$E$2:$X$200,'SKU Dist'!Q$1,FALSE),"")=0,"",IF($AT19&lt;&gt;"",VLOOKUP(CONCATENATE($AT19,$AU19,$AV19,$F19),'SKU Dist'!$E$2:$X$200,'SKU Dist'!Q$1,FALSE),""))</f>
        <v/>
      </c>
      <c r="X19" s="779" t="str">
        <f>IF(IF($AT19&lt;&gt;"",VLOOKUP(CONCATENATE($AT19,$AU19,$AV19,$F19),'SKU Dist'!$E$2:$X$200,'SKU Dist'!R$1,FALSE),"")=0,"",IF($AT19&lt;&gt;"",VLOOKUP(CONCATENATE($AT19,$AU19,$AV19,$F19),'SKU Dist'!$E$2:$X$200,'SKU Dist'!R$1,FALSE),""))</f>
        <v/>
      </c>
      <c r="Y19" s="779" t="str">
        <f>IF(IF($AT19&lt;&gt;"",VLOOKUP(CONCATENATE($AT19,$AU19,$AV19,$F19),'SKU Dist'!$E$2:$X$200,'SKU Dist'!S$1,FALSE),"")=0,"",IF($AT19&lt;&gt;"",VLOOKUP(CONCATENATE($AT19,$AU19,$AV19,$F19),'SKU Dist'!$E$2:$X$200,'SKU Dist'!S$1,FALSE),""))</f>
        <v/>
      </c>
      <c r="Z19" s="779" t="str">
        <f>IF(IF($AT19&lt;&gt;"",VLOOKUP(CONCATENATE($AT19,$AU19,$AV19,$F19),'SKU Dist'!$E$2:$X$200,'SKU Dist'!T$1,FALSE),"")=0,"",IF($AT19&lt;&gt;"",VLOOKUP(CONCATENATE($AT19,$AU19,$AV19,$F19),'SKU Dist'!$E$2:$X$200,'SKU Dist'!T$1,FALSE),""))</f>
        <v/>
      </c>
      <c r="AA19" s="779" t="str">
        <f>IF(IF($AT19&lt;&gt;"",VLOOKUP(CONCATENATE($AT19,$AU19,$AV19,$F19),'SKU Dist'!$E$2:$X$200,'SKU Dist'!U$1,FALSE),"")=0,"",IF($AT19&lt;&gt;"",VLOOKUP(CONCATENATE($AT19,$AU19,$AV19,$F19),'SKU Dist'!$E$2:$X$200,'SKU Dist'!U$1,FALSE),""))</f>
        <v/>
      </c>
      <c r="AB19" s="779" t="str">
        <f>IF(IF($AT19&lt;&gt;"",VLOOKUP(CONCATENATE($AT19,$AU19,$AV19,$F19),'SKU Dist'!$E$2:$X$200,'SKU Dist'!V$1,FALSE),"")=0,"",IF($AT19&lt;&gt;"",VLOOKUP(CONCATENATE($AT19,$AU19,$AV19,$F19),'SKU Dist'!$E$2:$X$200,'SKU Dist'!V$1,FALSE),""))</f>
        <v/>
      </c>
      <c r="AC19" s="633"/>
      <c r="AD19" s="633"/>
      <c r="AE19" s="633"/>
      <c r="AF19" s="634"/>
      <c r="AG19" s="808">
        <f t="shared" ref="AG19" si="13">SUM(G19:AF19)</f>
        <v>0</v>
      </c>
      <c r="AH19" s="820">
        <v>190</v>
      </c>
      <c r="AI19" s="944">
        <f t="shared" si="10"/>
        <v>0</v>
      </c>
      <c r="AJ19" s="927"/>
      <c r="AK19" s="5"/>
      <c r="AT19" s="222" t="str">
        <f t="shared" si="11"/>
        <v/>
      </c>
      <c r="AU19" s="206" t="s">
        <v>9</v>
      </c>
      <c r="AV19" s="152" t="s">
        <v>10</v>
      </c>
    </row>
    <row r="20" spans="1:48" s="39" customFormat="1" ht="16.5" thickBot="1" x14ac:dyDescent="0.25">
      <c r="A20" s="658"/>
      <c r="B20" s="1033"/>
      <c r="C20" s="858" t="s">
        <v>254</v>
      </c>
      <c r="D20" s="869" t="s">
        <v>306</v>
      </c>
      <c r="E20" s="893">
        <v>3580</v>
      </c>
      <c r="F20" s="889" t="s">
        <v>92</v>
      </c>
      <c r="G20" s="645"/>
      <c r="H20" s="632"/>
      <c r="I20" s="632"/>
      <c r="J20" s="632"/>
      <c r="K20" s="632"/>
      <c r="L20" s="779" t="str">
        <f>IF(IF($AT20&lt;&gt;"",VLOOKUP(CONCATENATE($AT20,$AU20,$AV20,$F20),'SKU Dist'!$E$2:$X$200,'SKU Dist'!F$1,FALSE),"")=0,"",IF($AT20&lt;&gt;"",VLOOKUP(CONCATENATE($AT20,$AU20,$AV20,$F20),'SKU Dist'!$E$2:$X$200,'SKU Dist'!F$1,FALSE),""))</f>
        <v/>
      </c>
      <c r="M20" s="779" t="str">
        <f>IF(IF($AT20&lt;&gt;"",VLOOKUP(CONCATENATE($AT20,$AU20,$AV20,$F20),'SKU Dist'!$E$2:$X$200,'SKU Dist'!G$1,FALSE),"")=0,"",IF($AT20&lt;&gt;"",VLOOKUP(CONCATENATE($AT20,$AU20,$AV20,$F20),'SKU Dist'!$E$2:$X$200,'SKU Dist'!G$1,FALSE),""))</f>
        <v/>
      </c>
      <c r="N20" s="779" t="str">
        <f>IF(IF($AT20&lt;&gt;"",VLOOKUP(CONCATENATE($AT20,$AU20,$AV20,$F20),'SKU Dist'!$E$2:$X$200,'SKU Dist'!H$1,FALSE),"")=0,"",IF($AT20&lt;&gt;"",VLOOKUP(CONCATENATE($AT20,$AU20,$AV20,$F20),'SKU Dist'!$E$2:$X$200,'SKU Dist'!H$1,FALSE),""))</f>
        <v/>
      </c>
      <c r="O20" s="779" t="str">
        <f>IF(IF($AT20&lt;&gt;"",VLOOKUP(CONCATENATE($AT20,$AU20,$AV20,$F20),'SKU Dist'!$E$2:$X$200,'SKU Dist'!I$1,FALSE),"")=0,"",IF($AT20&lt;&gt;"",VLOOKUP(CONCATENATE($AT20,$AU20,$AV20,$F20),'SKU Dist'!$E$2:$X$200,'SKU Dist'!I$1,FALSE),""))</f>
        <v/>
      </c>
      <c r="P20" s="779" t="str">
        <f>IF(IF($AT20&lt;&gt;"",VLOOKUP(CONCATENATE($AT20,$AU20,$AV20,$F20),'SKU Dist'!$E$2:$X$200,'SKU Dist'!J$1,FALSE),"")=0,"",IF($AT20&lt;&gt;"",VLOOKUP(CONCATENATE($AT20,$AU20,$AV20,$F20),'SKU Dist'!$E$2:$X$200,'SKU Dist'!J$1,FALSE),""))</f>
        <v/>
      </c>
      <c r="Q20" s="779" t="str">
        <f>IF(IF($AT20&lt;&gt;"",VLOOKUP(CONCATENATE($AT20,$AU20,$AV20,$F20),'SKU Dist'!$E$2:$X$200,'SKU Dist'!K$1,FALSE),"")=0,"",IF($AT20&lt;&gt;"",VLOOKUP(CONCATENATE($AT20,$AU20,$AV20,$F20),'SKU Dist'!$E$2:$X$200,'SKU Dist'!K$1,FALSE),""))</f>
        <v/>
      </c>
      <c r="R20" s="779" t="str">
        <f>IF(IF($AT20&lt;&gt;"",VLOOKUP(CONCATENATE($AT20,$AU20,$AV20,$F20),'SKU Dist'!$E$2:$X$200,'SKU Dist'!L$1,FALSE),"")=0,"",IF($AT20&lt;&gt;"",VLOOKUP(CONCATENATE($AT20,$AU20,$AV20,$F20),'SKU Dist'!$E$2:$X$200,'SKU Dist'!L$1,FALSE),""))</f>
        <v/>
      </c>
      <c r="S20" s="779" t="str">
        <f>IF(IF($AT20&lt;&gt;"",VLOOKUP(CONCATENATE($AT20,$AU20,$AV20,$F20),'SKU Dist'!$E$2:$X$200,'SKU Dist'!M$1,FALSE),"")=0,"",IF($AT20&lt;&gt;"",VLOOKUP(CONCATENATE($AT20,$AU20,$AV20,$F20),'SKU Dist'!$E$2:$X$200,'SKU Dist'!M$1,FALSE),""))</f>
        <v/>
      </c>
      <c r="T20" s="779" t="str">
        <f>IF(IF($AT20&lt;&gt;"",VLOOKUP(CONCATENATE($AT20,$AU20,$AV20,$F20),'SKU Dist'!$E$2:$X$200,'SKU Dist'!N$1,FALSE),"")=0,"",IF($AT20&lt;&gt;"",VLOOKUP(CONCATENATE($AT20,$AU20,$AV20,$F20),'SKU Dist'!$E$2:$X$200,'SKU Dist'!N$1,FALSE),""))</f>
        <v/>
      </c>
      <c r="U20" s="779" t="str">
        <f>IF(IF($AT20&lt;&gt;"",VLOOKUP(CONCATENATE($AT20,$AU20,$AV20,$F20),'SKU Dist'!$E$2:$X$200,'SKU Dist'!O$1,FALSE),"")=0,"",IF($AT20&lt;&gt;"",VLOOKUP(CONCATENATE($AT20,$AU20,$AV20,$F20),'SKU Dist'!$E$2:$X$200,'SKU Dist'!O$1,FALSE),""))</f>
        <v/>
      </c>
      <c r="V20" s="779" t="str">
        <f>IF(IF($AT20&lt;&gt;"",VLOOKUP(CONCATENATE($AT20,$AU20,$AV20,$F20),'SKU Dist'!$E$2:$X$200,'SKU Dist'!P$1,FALSE),"")=0,"",IF($AT20&lt;&gt;"",VLOOKUP(CONCATENATE($AT20,$AU20,$AV20,$F20),'SKU Dist'!$E$2:$X$200,'SKU Dist'!P$1,FALSE),""))</f>
        <v/>
      </c>
      <c r="W20" s="779" t="str">
        <f>IF(IF($AT20&lt;&gt;"",VLOOKUP(CONCATENATE($AT20,$AU20,$AV20,$F20),'SKU Dist'!$E$2:$X$200,'SKU Dist'!Q$1,FALSE),"")=0,"",IF($AT20&lt;&gt;"",VLOOKUP(CONCATENATE($AT20,$AU20,$AV20,$F20),'SKU Dist'!$E$2:$X$200,'SKU Dist'!Q$1,FALSE),""))</f>
        <v/>
      </c>
      <c r="X20" s="779" t="str">
        <f>IF(IF($AT20&lt;&gt;"",VLOOKUP(CONCATENATE($AT20,$AU20,$AV20,$F20),'SKU Dist'!$E$2:$X$200,'SKU Dist'!R$1,FALSE),"")=0,"",IF($AT20&lt;&gt;"",VLOOKUP(CONCATENATE($AT20,$AU20,$AV20,$F20),'SKU Dist'!$E$2:$X$200,'SKU Dist'!R$1,FALSE),""))</f>
        <v/>
      </c>
      <c r="Y20" s="779" t="str">
        <f>IF(IF($AT20&lt;&gt;"",VLOOKUP(CONCATENATE($AT20,$AU20,$AV20,$F20),'SKU Dist'!$E$2:$X$200,'SKU Dist'!S$1,FALSE),"")=0,"",IF($AT20&lt;&gt;"",VLOOKUP(CONCATENATE($AT20,$AU20,$AV20,$F20),'SKU Dist'!$E$2:$X$200,'SKU Dist'!S$1,FALSE),""))</f>
        <v/>
      </c>
      <c r="Z20" s="779" t="str">
        <f>IF(IF($AT20&lt;&gt;"",VLOOKUP(CONCATENATE($AT20,$AU20,$AV20,$F20),'SKU Dist'!$E$2:$X$200,'SKU Dist'!T$1,FALSE),"")=0,"",IF($AT20&lt;&gt;"",VLOOKUP(CONCATENATE($AT20,$AU20,$AV20,$F20),'SKU Dist'!$E$2:$X$200,'SKU Dist'!T$1,FALSE),""))</f>
        <v/>
      </c>
      <c r="AA20" s="779" t="str">
        <f>IF(IF($AT20&lt;&gt;"",VLOOKUP(CONCATENATE($AT20,$AU20,$AV20,$F20),'SKU Dist'!$E$2:$X$200,'SKU Dist'!U$1,FALSE),"")=0,"",IF($AT20&lt;&gt;"",VLOOKUP(CONCATENATE($AT20,$AU20,$AV20,$F20),'SKU Dist'!$E$2:$X$200,'SKU Dist'!U$1,FALSE),""))</f>
        <v/>
      </c>
      <c r="AB20" s="779" t="str">
        <f>IF(IF($AT20&lt;&gt;"",VLOOKUP(CONCATENATE($AT20,$AU20,$AV20,$F20),'SKU Dist'!$E$2:$X$200,'SKU Dist'!V$1,FALSE),"")=0,"",IF($AT20&lt;&gt;"",VLOOKUP(CONCATENATE($AT20,$AU20,$AV20,$F20),'SKU Dist'!$E$2:$X$200,'SKU Dist'!V$1,FALSE),""))</f>
        <v/>
      </c>
      <c r="AC20" s="633"/>
      <c r="AD20" s="633"/>
      <c r="AE20" s="633"/>
      <c r="AF20" s="634"/>
      <c r="AG20" s="808">
        <f t="shared" ref="AG20" si="14">SUM(G20:AF20)</f>
        <v>0</v>
      </c>
      <c r="AH20" s="820">
        <v>190</v>
      </c>
      <c r="AI20" s="944">
        <f t="shared" ref="AI20" si="15">AG20*AH20</f>
        <v>0</v>
      </c>
      <c r="AJ20" s="927"/>
      <c r="AK20" s="5"/>
      <c r="AT20" s="222" t="str">
        <f t="shared" ref="AT20" si="16">IF(E20=E19,AT19,IF(B20="","",B20))</f>
        <v/>
      </c>
      <c r="AU20" s="206" t="s">
        <v>9</v>
      </c>
      <c r="AV20" s="152" t="s">
        <v>10</v>
      </c>
    </row>
    <row r="21" spans="1:48" ht="15.75" x14ac:dyDescent="0.25">
      <c r="A21" s="638" t="s">
        <v>211</v>
      </c>
      <c r="B21" s="1030"/>
      <c r="C21" s="860" t="s">
        <v>257</v>
      </c>
      <c r="D21" s="871" t="s">
        <v>259</v>
      </c>
      <c r="E21" s="894">
        <v>3593</v>
      </c>
      <c r="F21" s="895" t="s">
        <v>35</v>
      </c>
      <c r="G21" s="640"/>
      <c r="H21" s="431"/>
      <c r="I21" s="431"/>
      <c r="J21" s="431"/>
      <c r="K21" s="431"/>
      <c r="L21" s="431"/>
      <c r="M21" s="431"/>
      <c r="N21" s="637" t="str">
        <f>IF(IF($AT21&lt;&gt;"",VLOOKUP(CONCATENATE($AT21,$AU21,$AV21,$F21),'SKU Dist'!$E$2:$X$200,'SKU Dist'!H$1,FALSE),"")=0,"",IF($AT21&lt;&gt;"",VLOOKUP(CONCATENATE($AT21,$AU21,$AV21,$F21),'SKU Dist'!$E$2:$X$200,'SKU Dist'!H$1,FALSE),""))</f>
        <v/>
      </c>
      <c r="O21" s="637" t="str">
        <f>IF(IF($AT21&lt;&gt;"",VLOOKUP(CONCATENATE($AT21,$AU21,$AV21,$F21),'SKU Dist'!$E$2:$X$200,'SKU Dist'!I$1,FALSE),"")=0,"",IF($AT21&lt;&gt;"",VLOOKUP(CONCATENATE($AT21,$AU21,$AV21,$F21),'SKU Dist'!$E$2:$X$200,'SKU Dist'!I$1,FALSE),""))</f>
        <v/>
      </c>
      <c r="P21" s="637" t="str">
        <f>IF(IF($AT21&lt;&gt;"",VLOOKUP(CONCATENATE($AT21,$AU21,$AV21,$F21),'SKU Dist'!$E$2:$X$200,'SKU Dist'!J$1,FALSE),"")=0,"",IF($AT21&lt;&gt;"",VLOOKUP(CONCATENATE($AT21,$AU21,$AV21,$F21),'SKU Dist'!$E$2:$X$200,'SKU Dist'!J$1,FALSE),""))</f>
        <v/>
      </c>
      <c r="Q21" s="637" t="str">
        <f>IF(IF($AT21&lt;&gt;"",VLOOKUP(CONCATENATE($AT21,$AU21,$AV21,$F21),'SKU Dist'!$E$2:$X$200,'SKU Dist'!K$1,FALSE),"")=0,"",IF($AT21&lt;&gt;"",VLOOKUP(CONCATENATE($AT21,$AU21,$AV21,$F21),'SKU Dist'!$E$2:$X$200,'SKU Dist'!K$1,FALSE),""))</f>
        <v/>
      </c>
      <c r="R21" s="637" t="str">
        <f>IF(IF($AT21&lt;&gt;"",VLOOKUP(CONCATENATE($AT21,$AU21,$AV21,$F21),'SKU Dist'!$E$2:$X$200,'SKU Dist'!L$1,FALSE),"")=0,"",IF($AT21&lt;&gt;"",VLOOKUP(CONCATENATE($AT21,$AU21,$AV21,$F21),'SKU Dist'!$E$2:$X$200,'SKU Dist'!L$1,FALSE),""))</f>
        <v/>
      </c>
      <c r="S21" s="637"/>
      <c r="T21" s="637"/>
      <c r="U21" s="637"/>
      <c r="V21" s="637"/>
      <c r="W21" s="637"/>
      <c r="X21" s="637"/>
      <c r="Y21" s="637"/>
      <c r="Z21" s="637"/>
      <c r="AA21" s="637" t="str">
        <f>IF(IF($AT21&lt;&gt;"",VLOOKUP(CONCATENATE($AT21,$AU21,$AV21,$F21),'SKU Dist'!$E$2:$X$200,'SKU Dist'!U$1,FALSE),"")=0,"",IF($AT21&lt;&gt;"",VLOOKUP(CONCATENATE($AT21,$AU21,$AV21,$F21),'SKU Dist'!$E$2:$X$200,'SKU Dist'!U$1,FALSE),""))</f>
        <v/>
      </c>
      <c r="AB21" s="637" t="str">
        <f>IF(IF($AT21&lt;&gt;"",VLOOKUP(CONCATENATE($AT21,$AU21,$AV21,$F21),'SKU Dist'!$E$2:$X$200,'SKU Dist'!V$1,FALSE),"")=0,"",IF($AT21&lt;&gt;"",VLOOKUP(CONCATENATE($AT21,$AU21,$AV21,$F21),'SKU Dist'!$E$2:$X$200,'SKU Dist'!V$1,FALSE),""))</f>
        <v/>
      </c>
      <c r="AC21" s="444"/>
      <c r="AD21" s="444"/>
      <c r="AE21" s="444"/>
      <c r="AF21" s="586"/>
      <c r="AG21" s="809">
        <f t="shared" ref="AG21:AG26" si="17">SUM(G21:AF21)</f>
        <v>0</v>
      </c>
      <c r="AH21" s="830">
        <v>157.5</v>
      </c>
      <c r="AI21" s="946">
        <f t="shared" si="0"/>
        <v>0</v>
      </c>
      <c r="AJ21" s="929"/>
      <c r="AT21" s="222" t="str">
        <f>IF(E21=E15,AT15,IF(B21="","",B21))</f>
        <v/>
      </c>
      <c r="AU21" s="206" t="s">
        <v>9</v>
      </c>
      <c r="AV21" s="206" t="s">
        <v>10</v>
      </c>
    </row>
    <row r="22" spans="1:48" ht="16.5" thickBot="1" x14ac:dyDescent="0.3">
      <c r="A22" s="774" t="s">
        <v>266</v>
      </c>
      <c r="B22" s="1029"/>
      <c r="C22" s="859" t="s">
        <v>257</v>
      </c>
      <c r="D22" s="870" t="s">
        <v>259</v>
      </c>
      <c r="E22" s="892">
        <v>3593</v>
      </c>
      <c r="F22" s="891" t="s">
        <v>68</v>
      </c>
      <c r="G22" s="645"/>
      <c r="H22" s="632"/>
      <c r="I22" s="632"/>
      <c r="J22" s="632"/>
      <c r="K22" s="632"/>
      <c r="L22" s="632"/>
      <c r="M22" s="632"/>
      <c r="N22" s="778" t="str">
        <f>IF(IF($AT22&lt;&gt;"",VLOOKUP(CONCATENATE($AT22,$AU22,$AV22,$F22),'SKU Dist'!$E$2:$X$200,'SKU Dist'!H$1,FALSE),"")=0,"",IF($AT22&lt;&gt;"",VLOOKUP(CONCATENATE($AT22,$AU22,$AV22,$F22),'SKU Dist'!$E$2:$X$200,'SKU Dist'!H$1,FALSE),""))</f>
        <v/>
      </c>
      <c r="O22" s="778" t="str">
        <f>IF(IF($AT22&lt;&gt;"",VLOOKUP(CONCATENATE($AT22,$AU22,$AV22,$F22),'SKU Dist'!$E$2:$X$200,'SKU Dist'!I$1,FALSE),"")=0,"",IF($AT22&lt;&gt;"",VLOOKUP(CONCATENATE($AT22,$AU22,$AV22,$F22),'SKU Dist'!$E$2:$X$200,'SKU Dist'!I$1,FALSE),""))</f>
        <v/>
      </c>
      <c r="P22" s="778" t="str">
        <f>IF(IF($AT22&lt;&gt;"",VLOOKUP(CONCATENATE($AT22,$AU22,$AV22,$F22),'SKU Dist'!$E$2:$X$200,'SKU Dist'!J$1,FALSE),"")=0,"",IF($AT22&lt;&gt;"",VLOOKUP(CONCATENATE($AT22,$AU22,$AV22,$F22),'SKU Dist'!$E$2:$X$200,'SKU Dist'!J$1,FALSE),""))</f>
        <v/>
      </c>
      <c r="Q22" s="778" t="str">
        <f>IF(IF($AT22&lt;&gt;"",VLOOKUP(CONCATENATE($AT22,$AU22,$AV22,$F22),'SKU Dist'!$E$2:$X$200,'SKU Dist'!K$1,FALSE),"")=0,"",IF($AT22&lt;&gt;"",VLOOKUP(CONCATENATE($AT22,$AU22,$AV22,$F22),'SKU Dist'!$E$2:$X$200,'SKU Dist'!K$1,FALSE),""))</f>
        <v/>
      </c>
      <c r="R22" s="778" t="str">
        <f>IF(IF($AT22&lt;&gt;"",VLOOKUP(CONCATENATE($AT22,$AU22,$AV22,$F22),'SKU Dist'!$E$2:$X$200,'SKU Dist'!L$1,FALSE),"")=0,"",IF($AT22&lt;&gt;"",VLOOKUP(CONCATENATE($AT22,$AU22,$AV22,$F22),'SKU Dist'!$E$2:$X$200,'SKU Dist'!L$1,FALSE),""))</f>
        <v/>
      </c>
      <c r="S22" s="778"/>
      <c r="T22" s="778"/>
      <c r="U22" s="778"/>
      <c r="V22" s="778"/>
      <c r="W22" s="778"/>
      <c r="X22" s="778"/>
      <c r="Y22" s="778"/>
      <c r="Z22" s="778"/>
      <c r="AA22" s="778" t="str">
        <f>IF(IF($AT22&lt;&gt;"",VLOOKUP(CONCATENATE($AT22,$AU22,$AV22,$F22),'SKU Dist'!$E$2:$X$200,'SKU Dist'!U$1,FALSE),"")=0,"",IF($AT22&lt;&gt;"",VLOOKUP(CONCATENATE($AT22,$AU22,$AV22,$F22),'SKU Dist'!$E$2:$X$200,'SKU Dist'!U$1,FALSE),""))</f>
        <v/>
      </c>
      <c r="AB22" s="778" t="str">
        <f>IF(IF($AT22&lt;&gt;"",VLOOKUP(CONCATENATE($AT22,$AU22,$AV22,$F22),'SKU Dist'!$E$2:$X$200,'SKU Dist'!V$1,FALSE),"")=0,"",IF($AT22&lt;&gt;"",VLOOKUP(CONCATENATE($AT22,$AU22,$AV22,$F22),'SKU Dist'!$E$2:$X$200,'SKU Dist'!V$1,FALSE),""))</f>
        <v/>
      </c>
      <c r="AC22" s="633"/>
      <c r="AD22" s="633"/>
      <c r="AE22" s="633"/>
      <c r="AF22" s="634"/>
      <c r="AG22" s="811">
        <f t="shared" si="17"/>
        <v>0</v>
      </c>
      <c r="AH22" s="815">
        <v>157.5</v>
      </c>
      <c r="AI22" s="945">
        <f t="shared" si="0"/>
        <v>0</v>
      </c>
      <c r="AJ22" s="928"/>
      <c r="AT22" s="222" t="str">
        <f>IF(E22=E16,AT16,IF(B22="","",B22))</f>
        <v/>
      </c>
      <c r="AU22" s="206" t="s">
        <v>9</v>
      </c>
      <c r="AV22" s="206" t="s">
        <v>10</v>
      </c>
    </row>
    <row r="23" spans="1:48" ht="15.75" x14ac:dyDescent="0.25">
      <c r="A23" s="654">
        <f>SUM(AG21:AG24)</f>
        <v>0</v>
      </c>
      <c r="B23" s="1029"/>
      <c r="C23" s="859" t="s">
        <v>257</v>
      </c>
      <c r="D23" s="870" t="s">
        <v>259</v>
      </c>
      <c r="E23" s="892">
        <v>3593</v>
      </c>
      <c r="F23" s="891" t="s">
        <v>69</v>
      </c>
      <c r="G23" s="645"/>
      <c r="H23" s="632"/>
      <c r="I23" s="632"/>
      <c r="J23" s="632"/>
      <c r="K23" s="632"/>
      <c r="L23" s="632"/>
      <c r="M23" s="632"/>
      <c r="N23" s="632"/>
      <c r="O23" s="632"/>
      <c r="P23" s="632"/>
      <c r="Q23" s="632"/>
      <c r="R23" s="778" t="str">
        <f>IF(IF($AT23&lt;&gt;"",VLOOKUP(CONCATENATE($AT23,$AU23,$AV23,$F23),'SKU Dist'!$E$2:$X$200,'SKU Dist'!L$1,FALSE),"")=0,"",IF($AT23&lt;&gt;"",VLOOKUP(CONCATENATE($AT23,$AU23,$AV23,$F23),'SKU Dist'!$E$2:$X$200,'SKU Dist'!L$1,FALSE),""))</f>
        <v/>
      </c>
      <c r="S23" s="778" t="str">
        <f>IF(IF($AT23&lt;&gt;"",VLOOKUP(CONCATENATE($AT23,$AU23,$AV23,$F23),'SKU Dist'!$E$2:$X$200,'SKU Dist'!M$1,FALSE),"")=0,"",IF($AT23&lt;&gt;"",VLOOKUP(CONCATENATE($AT23,$AU23,$AV23,$F23),'SKU Dist'!$E$2:$X$200,'SKU Dist'!M$1,FALSE),""))</f>
        <v/>
      </c>
      <c r="T23" s="778" t="str">
        <f>IF(IF($AT23&lt;&gt;"",VLOOKUP(CONCATENATE($AT23,$AU23,$AV23,$F23),'SKU Dist'!$E$2:$X$200,'SKU Dist'!N$1,FALSE),"")=0,"",IF($AT23&lt;&gt;"",VLOOKUP(CONCATENATE($AT23,$AU23,$AV23,$F23),'SKU Dist'!$E$2:$X$200,'SKU Dist'!N$1,FALSE),""))</f>
        <v/>
      </c>
      <c r="U23" s="778" t="str">
        <f>IF(IF($AT23&lt;&gt;"",VLOOKUP(CONCATENATE($AT23,$AU23,$AV23,$F23),'SKU Dist'!$E$2:$X$200,'SKU Dist'!O$1,FALSE),"")=0,"",IF($AT23&lt;&gt;"",VLOOKUP(CONCATENATE($AT23,$AU23,$AV23,$F23),'SKU Dist'!$E$2:$X$200,'SKU Dist'!O$1,FALSE),""))</f>
        <v/>
      </c>
      <c r="V23" s="778" t="str">
        <f>IF(IF($AT23&lt;&gt;"",VLOOKUP(CONCATENATE($AT23,$AU23,$AV23,$F23),'SKU Dist'!$E$2:$X$200,'SKU Dist'!P$1,FALSE),"")=0,"",IF($AT23&lt;&gt;"",VLOOKUP(CONCATENATE($AT23,$AU23,$AV23,$F23),'SKU Dist'!$E$2:$X$200,'SKU Dist'!P$1,FALSE),""))</f>
        <v/>
      </c>
      <c r="W23" s="778" t="str">
        <f>IF(IF($AT23&lt;&gt;"",VLOOKUP(CONCATENATE($AT23,$AU23,$AV23,$F23),'SKU Dist'!$E$2:$X$200,'SKU Dist'!Q$1,FALSE),"")=0,"",IF($AT23&lt;&gt;"",VLOOKUP(CONCATENATE($AT23,$AU23,$AV23,$F23),'SKU Dist'!$E$2:$X$200,'SKU Dist'!Q$1,FALSE),""))</f>
        <v/>
      </c>
      <c r="X23" s="778" t="str">
        <f>IF(IF($AT23&lt;&gt;"",VLOOKUP(CONCATENATE($AT23,$AU23,$AV23,$F23),'SKU Dist'!$E$2:$X$200,'SKU Dist'!R$1,FALSE),"")=0,"",IF($AT23&lt;&gt;"",VLOOKUP(CONCATENATE($AT23,$AU23,$AV23,$F23),'SKU Dist'!$E$2:$X$200,'SKU Dist'!R$1,FALSE),""))</f>
        <v/>
      </c>
      <c r="Y23" s="778" t="str">
        <f>IF(IF($AT23&lt;&gt;"",VLOOKUP(CONCATENATE($AT23,$AU23,$AV23,$F23),'SKU Dist'!$E$2:$X$200,'SKU Dist'!S$1,FALSE),"")=0,"",IF($AT23&lt;&gt;"",VLOOKUP(CONCATENATE($AT23,$AU23,$AV23,$F23),'SKU Dist'!$E$2:$X$200,'SKU Dist'!S$1,FALSE),""))</f>
        <v/>
      </c>
      <c r="Z23" s="778" t="str">
        <f>IF(IF($AT23&lt;&gt;"",VLOOKUP(CONCATENATE($AT23,$AU23,$AV23,$F23),'SKU Dist'!$E$2:$X$200,'SKU Dist'!T$1,FALSE),"")=0,"",IF($AT23&lt;&gt;"",VLOOKUP(CONCATENATE($AT23,$AU23,$AV23,$F23),'SKU Dist'!$E$2:$X$200,'SKU Dist'!T$1,FALSE),""))</f>
        <v/>
      </c>
      <c r="AA23" s="778" t="str">
        <f>IF(IF($AT23&lt;&gt;"",VLOOKUP(CONCATENATE($AT23,$AU23,$AV23,$F23),'SKU Dist'!$E$2:$X$200,'SKU Dist'!U$1,FALSE),"")=0,"",IF($AT23&lt;&gt;"",VLOOKUP(CONCATENATE($AT23,$AU23,$AV23,$F23),'SKU Dist'!$E$2:$X$200,'SKU Dist'!U$1,FALSE),""))</f>
        <v/>
      </c>
      <c r="AB23" s="778" t="str">
        <f>IF(IF($AT23&lt;&gt;"",VLOOKUP(CONCATENATE($AT23,$AU23,$AV23,$F23),'SKU Dist'!$E$2:$X$200,'SKU Dist'!V$1,FALSE),"")=0,"",IF($AT23&lt;&gt;"",VLOOKUP(CONCATENATE($AT23,$AU23,$AV23,$F23),'SKU Dist'!$E$2:$X$200,'SKU Dist'!V$1,FALSE),""))</f>
        <v/>
      </c>
      <c r="AC23" s="633"/>
      <c r="AD23" s="633"/>
      <c r="AE23" s="633"/>
      <c r="AF23" s="634"/>
      <c r="AG23" s="811">
        <f t="shared" ref="AG23" si="18">SUM(G23:AF23)</f>
        <v>0</v>
      </c>
      <c r="AH23" s="815">
        <v>157.5</v>
      </c>
      <c r="AI23" s="945">
        <f t="shared" ref="AI23" si="19">AG23*AH23</f>
        <v>0</v>
      </c>
      <c r="AJ23" s="928"/>
      <c r="AT23" s="222" t="str">
        <f>IF(E23=E17,AT17,IF(B23="","",B23))</f>
        <v/>
      </c>
      <c r="AU23" s="206" t="s">
        <v>9</v>
      </c>
      <c r="AV23" s="206" t="s">
        <v>10</v>
      </c>
    </row>
    <row r="24" spans="1:48" ht="16.5" thickBot="1" x14ac:dyDescent="0.3">
      <c r="A24" s="781">
        <f>SUM(AI21:AI23)</f>
        <v>0</v>
      </c>
      <c r="B24" s="791"/>
      <c r="C24" s="663"/>
      <c r="D24" s="872"/>
      <c r="E24" s="896"/>
      <c r="F24" s="897"/>
      <c r="G24" s="650"/>
      <c r="H24" s="650"/>
      <c r="I24" s="650"/>
      <c r="J24" s="650"/>
      <c r="K24" s="650"/>
      <c r="L24" s="650"/>
      <c r="M24" s="650"/>
      <c r="N24" s="650"/>
      <c r="O24" s="650"/>
      <c r="P24" s="650"/>
      <c r="Q24" s="650"/>
      <c r="R24" s="651"/>
      <c r="S24" s="651"/>
      <c r="T24" s="651"/>
      <c r="U24" s="651"/>
      <c r="V24" s="651"/>
      <c r="W24" s="651"/>
      <c r="X24" s="651"/>
      <c r="Y24" s="651"/>
      <c r="Z24" s="651"/>
      <c r="AA24" s="651"/>
      <c r="AB24" s="651"/>
      <c r="AC24" s="650"/>
      <c r="AD24" s="650"/>
      <c r="AE24" s="650"/>
      <c r="AF24" s="650"/>
      <c r="AG24" s="650"/>
      <c r="AH24" s="832"/>
      <c r="AI24" s="947"/>
      <c r="AJ24" s="664"/>
      <c r="AT24" s="222" t="str">
        <f t="shared" ref="AT24:AT26" si="20">IF(E24=E21,AT21,IF(B24="","",B24))</f>
        <v/>
      </c>
      <c r="AU24" s="206" t="s">
        <v>9</v>
      </c>
      <c r="AV24" s="206" t="s">
        <v>10</v>
      </c>
    </row>
    <row r="25" spans="1:48" s="39" customFormat="1" ht="15.75" customHeight="1" x14ac:dyDescent="0.25">
      <c r="A25" s="638" t="s">
        <v>211</v>
      </c>
      <c r="B25" s="1030"/>
      <c r="C25" s="860" t="s">
        <v>255</v>
      </c>
      <c r="D25" s="871" t="s">
        <v>259</v>
      </c>
      <c r="E25" s="894">
        <v>3740</v>
      </c>
      <c r="F25" s="895" t="s">
        <v>35</v>
      </c>
      <c r="G25" s="640"/>
      <c r="H25" s="431"/>
      <c r="I25" s="431"/>
      <c r="J25" s="431"/>
      <c r="K25" s="431"/>
      <c r="L25" s="431"/>
      <c r="M25" s="431"/>
      <c r="N25" s="841" t="str">
        <f>IF(IF($AT25&lt;&gt;"",VLOOKUP(CONCATENATE($AT25,$AU25,$AV25,$F25),'SKU Dist'!$E$2:$X$200,'SKU Dist'!H$1,FALSE),"")=0,"",IF($AT25&lt;&gt;"",VLOOKUP(CONCATENATE($AT25,$AU25,$AV25,$F25),'SKU Dist'!$E$2:$X$200,'SKU Dist'!H$1,FALSE),""))</f>
        <v/>
      </c>
      <c r="O25" s="841" t="str">
        <f>IF(IF($AT25&lt;&gt;"",VLOOKUP(CONCATENATE($AT25,$AU25,$AV25,$F25),'SKU Dist'!$E$2:$X$200,'SKU Dist'!I$1,FALSE),"")=0,"",IF($AT25&lt;&gt;"",VLOOKUP(CONCATENATE($AT25,$AU25,$AV25,$F25),'SKU Dist'!$E$2:$X$200,'SKU Dist'!I$1,FALSE),""))</f>
        <v/>
      </c>
      <c r="P25" s="841" t="str">
        <f>IF(IF($AT25&lt;&gt;"",VLOOKUP(CONCATENATE($AT25,$AU25,$AV25,$F25),'SKU Dist'!$E$2:$X$200,'SKU Dist'!J$1,FALSE),"")=0,"",IF($AT25&lt;&gt;"",VLOOKUP(CONCATENATE($AT25,$AU25,$AV25,$F25),'SKU Dist'!$E$2:$X$200,'SKU Dist'!J$1,FALSE),""))</f>
        <v/>
      </c>
      <c r="Q25" s="841" t="str">
        <f>IF(IF($AT25&lt;&gt;"",VLOOKUP(CONCATENATE($AT25,$AU25,$AV25,$F25),'SKU Dist'!$E$2:$X$200,'SKU Dist'!K$1,FALSE),"")=0,"",IF($AT25&lt;&gt;"",VLOOKUP(CONCATENATE($AT25,$AU25,$AV25,$F25),'SKU Dist'!$E$2:$X$200,'SKU Dist'!K$1,FALSE),""))</f>
        <v/>
      </c>
      <c r="R25" s="841" t="str">
        <f>IF(IF($AT25&lt;&gt;"",VLOOKUP(CONCATENATE($AT25,$AU25,$AV25,$F25),'SKU Dist'!$E$2:$X$200,'SKU Dist'!L$1,FALSE),"")=0,"",IF($AT25&lt;&gt;"",VLOOKUP(CONCATENATE($AT25,$AU25,$AV25,$F25),'SKU Dist'!$E$2:$X$200,'SKU Dist'!L$1,FALSE),""))</f>
        <v/>
      </c>
      <c r="S25" s="841">
        <v>1</v>
      </c>
      <c r="T25" s="841">
        <v>1</v>
      </c>
      <c r="U25" s="841">
        <v>2</v>
      </c>
      <c r="V25" s="841">
        <v>2</v>
      </c>
      <c r="W25" s="841">
        <v>2</v>
      </c>
      <c r="X25" s="841">
        <v>2</v>
      </c>
      <c r="Y25" s="841">
        <v>1</v>
      </c>
      <c r="Z25" s="841">
        <v>2</v>
      </c>
      <c r="AA25" s="841" t="str">
        <f>IF(IF($AT25&lt;&gt;"",VLOOKUP(CONCATENATE($AT25,$AU25,$AV25,$F25),'SKU Dist'!$E$2:$X$200,'SKU Dist'!U$1,FALSE),"")=0,"",IF($AT25&lt;&gt;"",VLOOKUP(CONCATENATE($AT25,$AU25,$AV25,$F25),'SKU Dist'!$E$2:$X$200,'SKU Dist'!U$1,FALSE),""))</f>
        <v/>
      </c>
      <c r="AB25" s="841" t="str">
        <f>IF(IF($AT25&lt;&gt;"",VLOOKUP(CONCATENATE($AT25,$AU25,$AV25,$F25),'SKU Dist'!$E$2:$X$200,'SKU Dist'!V$1,FALSE),"")=0,"",IF($AT25&lt;&gt;"",VLOOKUP(CONCATENATE($AT25,$AU25,$AV25,$F25),'SKU Dist'!$E$2:$X$200,'SKU Dist'!V$1,FALSE),""))</f>
        <v/>
      </c>
      <c r="AC25" s="841" t="str">
        <f>IF(IF($AT25&lt;&gt;"",VLOOKUP(CONCATENATE($AT25,$AU25,$AV25,$F25),'SKU Dist'!$E$2:$X$200,'SKU Dist'!W$1,FALSE),"")=0,"",IF($AT25&lt;&gt;"",VLOOKUP(CONCATENATE($AT25,$AU25,$AV25,$F25),'SKU Dist'!$E$2:$X$200,'SKU Dist'!W$1,FALSE),""))</f>
        <v/>
      </c>
      <c r="AD25" s="431"/>
      <c r="AE25" s="431"/>
      <c r="AF25" s="660"/>
      <c r="AG25" s="842">
        <f t="shared" si="17"/>
        <v>13</v>
      </c>
      <c r="AH25" s="813">
        <v>145</v>
      </c>
      <c r="AI25" s="946">
        <f t="shared" si="0"/>
        <v>1885</v>
      </c>
      <c r="AJ25" s="930"/>
      <c r="AT25" s="222" t="str">
        <f t="shared" si="20"/>
        <v/>
      </c>
      <c r="AU25" s="206" t="s">
        <v>9</v>
      </c>
      <c r="AV25" s="206" t="s">
        <v>10</v>
      </c>
    </row>
    <row r="26" spans="1:48" s="39" customFormat="1" ht="16.5" thickBot="1" x14ac:dyDescent="0.25">
      <c r="A26" s="647" t="s">
        <v>243</v>
      </c>
      <c r="B26" s="1029"/>
      <c r="C26" s="861" t="s">
        <v>255</v>
      </c>
      <c r="D26" s="873" t="s">
        <v>259</v>
      </c>
      <c r="E26" s="890">
        <v>3740</v>
      </c>
      <c r="F26" s="898" t="s">
        <v>68</v>
      </c>
      <c r="G26" s="641"/>
      <c r="H26" s="392"/>
      <c r="I26" s="392"/>
      <c r="J26" s="392"/>
      <c r="K26" s="392"/>
      <c r="L26" s="392"/>
      <c r="M26" s="392"/>
      <c r="N26" s="635" t="str">
        <f>IF(IF($AT26&lt;&gt;"",VLOOKUP(CONCATENATE($AT26,$AU26,$AV26,$F26),'SKU Dist'!$E$2:$X$200,'SKU Dist'!H$1,FALSE),"")=0,"",IF($AT26&lt;&gt;"",VLOOKUP(CONCATENATE($AT26,$AU26,$AV26,$F26),'SKU Dist'!$E$2:$X$200,'SKU Dist'!H$1,FALSE),""))</f>
        <v/>
      </c>
      <c r="O26" s="635" t="str">
        <f>IF(IF($AT26&lt;&gt;"",VLOOKUP(CONCATENATE($AT26,$AU26,$AV26,$F26),'SKU Dist'!$E$2:$X$200,'SKU Dist'!I$1,FALSE),"")=0,"",IF($AT26&lt;&gt;"",VLOOKUP(CONCATENATE($AT26,$AU26,$AV26,$F26),'SKU Dist'!$E$2:$X$200,'SKU Dist'!I$1,FALSE),""))</f>
        <v/>
      </c>
      <c r="P26" s="635" t="str">
        <f>IF(IF($AT26&lt;&gt;"",VLOOKUP(CONCATENATE($AT26,$AU26,$AV26,$F26),'SKU Dist'!$E$2:$X$200,'SKU Dist'!J$1,FALSE),"")=0,"",IF($AT26&lt;&gt;"",VLOOKUP(CONCATENATE($AT26,$AU26,$AV26,$F26),'SKU Dist'!$E$2:$X$200,'SKU Dist'!J$1,FALSE),""))</f>
        <v/>
      </c>
      <c r="Q26" s="635" t="str">
        <f>IF(IF($AT26&lt;&gt;"",VLOOKUP(CONCATENATE($AT26,$AU26,$AV26,$F26),'SKU Dist'!$E$2:$X$200,'SKU Dist'!K$1,FALSE),"")=0,"",IF($AT26&lt;&gt;"",VLOOKUP(CONCATENATE($AT26,$AU26,$AV26,$F26),'SKU Dist'!$E$2:$X$200,'SKU Dist'!K$1,FALSE),""))</f>
        <v/>
      </c>
      <c r="R26" s="635" t="str">
        <f>IF(IF($AT26&lt;&gt;"",VLOOKUP(CONCATENATE($AT26,$AU26,$AV26,$F26),'SKU Dist'!$E$2:$X$200,'SKU Dist'!L$1,FALSE),"")=0,"",IF($AT26&lt;&gt;"",VLOOKUP(CONCATENATE($AT26,$AU26,$AV26,$F26),'SKU Dist'!$E$2:$X$200,'SKU Dist'!L$1,FALSE),""))</f>
        <v/>
      </c>
      <c r="S26" s="635"/>
      <c r="T26" s="635">
        <v>1</v>
      </c>
      <c r="U26" s="635">
        <v>1</v>
      </c>
      <c r="V26" s="635">
        <v>1</v>
      </c>
      <c r="W26" s="635">
        <v>1</v>
      </c>
      <c r="X26" s="635">
        <v>1</v>
      </c>
      <c r="Y26" s="635"/>
      <c r="Z26" s="635">
        <v>1</v>
      </c>
      <c r="AA26" s="635" t="str">
        <f>IF(IF($AT26&lt;&gt;"",VLOOKUP(CONCATENATE($AT26,$AU26,$AV26,$F26),'SKU Dist'!$E$2:$X$200,'SKU Dist'!U$1,FALSE),"")=0,"",IF($AT26&lt;&gt;"",VLOOKUP(CONCATENATE($AT26,$AU26,$AV26,$F26),'SKU Dist'!$E$2:$X$200,'SKU Dist'!U$1,FALSE),""))</f>
        <v/>
      </c>
      <c r="AB26" s="635" t="str">
        <f>IF(IF($AT26&lt;&gt;"",VLOOKUP(CONCATENATE($AT26,$AU26,$AV26,$F26),'SKU Dist'!$E$2:$X$200,'SKU Dist'!V$1,FALSE),"")=0,"",IF($AT26&lt;&gt;"",VLOOKUP(CONCATENATE($AT26,$AU26,$AV26,$F26),'SKU Dist'!$E$2:$X$200,'SKU Dist'!V$1,FALSE),""))</f>
        <v/>
      </c>
      <c r="AC26" s="635" t="str">
        <f>IF(IF($AT26&lt;&gt;"",VLOOKUP(CONCATENATE($AT26,$AU26,$AV26,$F26),'SKU Dist'!$E$2:$X$200,'SKU Dist'!W$1,FALSE),"")=0,"",IF($AT26&lt;&gt;"",VLOOKUP(CONCATENATE($AT26,$AU26,$AV26,$F26),'SKU Dist'!$E$2:$X$200,'SKU Dist'!W$1,FALSE),""))</f>
        <v/>
      </c>
      <c r="AD26" s="390"/>
      <c r="AE26" s="390"/>
      <c r="AF26" s="585"/>
      <c r="AG26" s="803">
        <f t="shared" si="17"/>
        <v>6</v>
      </c>
      <c r="AH26" s="814">
        <v>145</v>
      </c>
      <c r="AI26" s="948">
        <f t="shared" si="0"/>
        <v>870</v>
      </c>
      <c r="AJ26" s="931"/>
      <c r="AK26" s="5"/>
      <c r="AT26" s="222" t="str">
        <f t="shared" si="20"/>
        <v/>
      </c>
      <c r="AU26" s="206" t="s">
        <v>9</v>
      </c>
      <c r="AV26" s="206" t="s">
        <v>10</v>
      </c>
    </row>
    <row r="27" spans="1:48" s="39" customFormat="1" ht="15.75" x14ac:dyDescent="0.2">
      <c r="A27" s="659">
        <f>SUM(AG25:AG30)</f>
        <v>19</v>
      </c>
      <c r="B27" s="1029"/>
      <c r="C27" s="859" t="s">
        <v>255</v>
      </c>
      <c r="D27" s="870" t="s">
        <v>259</v>
      </c>
      <c r="E27" s="892">
        <v>3740</v>
      </c>
      <c r="F27" s="898" t="s">
        <v>69</v>
      </c>
      <c r="G27" s="645"/>
      <c r="H27" s="632"/>
      <c r="I27" s="632"/>
      <c r="J27" s="632"/>
      <c r="K27" s="632"/>
      <c r="L27" s="632"/>
      <c r="M27" s="632"/>
      <c r="N27" s="632"/>
      <c r="O27" s="632"/>
      <c r="P27" s="632"/>
      <c r="Q27" s="632"/>
      <c r="R27" s="635" t="str">
        <f>IF(IF($AT27&lt;&gt;"",VLOOKUP(CONCATENATE($AT27,$AU27,$AV27,$F27),'SKU Dist'!$E$2:$X$200,'SKU Dist'!L$1,FALSE),"")=0,"",IF($AT27&lt;&gt;"",VLOOKUP(CONCATENATE($AT27,$AU27,$AV27,$F27),'SKU Dist'!$E$2:$X$200,'SKU Dist'!L$1,FALSE),""))</f>
        <v/>
      </c>
      <c r="S27" s="635" t="str">
        <f>IF(IF($AT27&lt;&gt;"",VLOOKUP(CONCATENATE($AT27,$AU27,$AV27,$F27),'SKU Dist'!$E$2:$X$200,'SKU Dist'!M$1,FALSE),"")=0,"",IF($AT27&lt;&gt;"",VLOOKUP(CONCATENATE($AT27,$AU27,$AV27,$F27),'SKU Dist'!$E$2:$X$200,'SKU Dist'!M$1,FALSE),""))</f>
        <v/>
      </c>
      <c r="T27" s="635" t="str">
        <f>IF(IF($AT27&lt;&gt;"",VLOOKUP(CONCATENATE($AT27,$AU27,$AV27,$F27),'SKU Dist'!$E$2:$X$200,'SKU Dist'!N$1,FALSE),"")=0,"",IF($AT27&lt;&gt;"",VLOOKUP(CONCATENATE($AT27,$AU27,$AV27,$F27),'SKU Dist'!$E$2:$X$200,'SKU Dist'!N$1,FALSE),""))</f>
        <v/>
      </c>
      <c r="U27" s="635" t="str">
        <f>IF(IF($AT27&lt;&gt;"",VLOOKUP(CONCATENATE($AT27,$AU27,$AV27,$F27),'SKU Dist'!$E$2:$X$200,'SKU Dist'!O$1,FALSE),"")=0,"",IF($AT27&lt;&gt;"",VLOOKUP(CONCATENATE($AT27,$AU27,$AV27,$F27),'SKU Dist'!$E$2:$X$200,'SKU Dist'!O$1,FALSE),""))</f>
        <v/>
      </c>
      <c r="V27" s="635" t="str">
        <f>IF(IF($AT27&lt;&gt;"",VLOOKUP(CONCATENATE($AT27,$AU27,$AV27,$F27),'SKU Dist'!$E$2:$X$200,'SKU Dist'!P$1,FALSE),"")=0,"",IF($AT27&lt;&gt;"",VLOOKUP(CONCATENATE($AT27,$AU27,$AV27,$F27),'SKU Dist'!$E$2:$X$200,'SKU Dist'!P$1,FALSE),""))</f>
        <v/>
      </c>
      <c r="W27" s="635" t="str">
        <f>IF(IF($AT27&lt;&gt;"",VLOOKUP(CONCATENATE($AT27,$AU27,$AV27,$F27),'SKU Dist'!$E$2:$X$200,'SKU Dist'!Q$1,FALSE),"")=0,"",IF($AT27&lt;&gt;"",VLOOKUP(CONCATENATE($AT27,$AU27,$AV27,$F27),'SKU Dist'!$E$2:$X$200,'SKU Dist'!Q$1,FALSE),""))</f>
        <v/>
      </c>
      <c r="X27" s="635" t="str">
        <f>IF(IF($AT27&lt;&gt;"",VLOOKUP(CONCATENATE($AT27,$AU27,$AV27,$F27),'SKU Dist'!$E$2:$X$200,'SKU Dist'!R$1,FALSE),"")=0,"",IF($AT27&lt;&gt;"",VLOOKUP(CONCATENATE($AT27,$AU27,$AV27,$F27),'SKU Dist'!$E$2:$X$200,'SKU Dist'!R$1,FALSE),""))</f>
        <v/>
      </c>
      <c r="Y27" s="635" t="str">
        <f>IF(IF($AT27&lt;&gt;"",VLOOKUP(CONCATENATE($AT27,$AU27,$AV27,$F27),'SKU Dist'!$E$2:$X$200,'SKU Dist'!S$1,FALSE),"")=0,"",IF($AT27&lt;&gt;"",VLOOKUP(CONCATENATE($AT27,$AU27,$AV27,$F27),'SKU Dist'!$E$2:$X$200,'SKU Dist'!S$1,FALSE),""))</f>
        <v/>
      </c>
      <c r="Z27" s="635" t="str">
        <f>IF(IF($AT27&lt;&gt;"",VLOOKUP(CONCATENATE($AT27,$AU27,$AV27,$F27),'SKU Dist'!$E$2:$X$200,'SKU Dist'!T$1,FALSE),"")=0,"",IF($AT27&lt;&gt;"",VLOOKUP(CONCATENATE($AT27,$AU27,$AV27,$F27),'SKU Dist'!$E$2:$X$200,'SKU Dist'!T$1,FALSE),""))</f>
        <v/>
      </c>
      <c r="AA27" s="635" t="str">
        <f>IF(IF($AT27&lt;&gt;"",VLOOKUP(CONCATENATE($AT27,$AU27,$AV27,$F27),'SKU Dist'!$E$2:$X$200,'SKU Dist'!U$1,FALSE),"")=0,"",IF($AT27&lt;&gt;"",VLOOKUP(CONCATENATE($AT27,$AU27,$AV27,$F27),'SKU Dist'!$E$2:$X$200,'SKU Dist'!U$1,FALSE),""))</f>
        <v/>
      </c>
      <c r="AB27" s="635" t="str">
        <f>IF(IF($AT27&lt;&gt;"",VLOOKUP(CONCATENATE($AT27,$AU27,$AV27,$F27),'SKU Dist'!$E$2:$X$200,'SKU Dist'!V$1,FALSE),"")=0,"",IF($AT27&lt;&gt;"",VLOOKUP(CONCATENATE($AT27,$AU27,$AV27,$F27),'SKU Dist'!$E$2:$X$200,'SKU Dist'!V$1,FALSE),""))</f>
        <v/>
      </c>
      <c r="AC27" s="390"/>
      <c r="AD27" s="633"/>
      <c r="AE27" s="633"/>
      <c r="AF27" s="634"/>
      <c r="AG27" s="803">
        <f>SUM(G27:AF27)</f>
        <v>0</v>
      </c>
      <c r="AH27" s="815">
        <v>145</v>
      </c>
      <c r="AI27" s="945">
        <f t="shared" si="0"/>
        <v>0</v>
      </c>
      <c r="AJ27" s="928"/>
      <c r="AK27" s="5"/>
      <c r="AT27" s="222" t="str">
        <f t="shared" si="1"/>
        <v/>
      </c>
      <c r="AU27" s="206" t="s">
        <v>9</v>
      </c>
      <c r="AV27" s="206" t="s">
        <v>10</v>
      </c>
    </row>
    <row r="28" spans="1:48" s="39" customFormat="1" ht="15.75" customHeight="1" x14ac:dyDescent="0.25">
      <c r="A28" s="655">
        <f>SUM(AI25:AI30)</f>
        <v>2755</v>
      </c>
      <c r="B28" s="1031"/>
      <c r="C28" s="857" t="s">
        <v>255</v>
      </c>
      <c r="D28" s="868" t="s">
        <v>259</v>
      </c>
      <c r="E28" s="888">
        <v>3741</v>
      </c>
      <c r="F28" s="899" t="s">
        <v>35</v>
      </c>
      <c r="G28" s="644"/>
      <c r="H28" s="387"/>
      <c r="I28" s="387"/>
      <c r="J28" s="387"/>
      <c r="K28" s="387"/>
      <c r="L28" s="387"/>
      <c r="M28" s="387"/>
      <c r="N28" s="413" t="str">
        <f>IF(IF($AT28&lt;&gt;"",VLOOKUP(CONCATENATE($AT28,$AU28,$AV28,$F28),'SKU Dist'!$E$2:$X$200,'SKU Dist'!H$1,FALSE),"")=0,"",IF($AT28&lt;&gt;"",VLOOKUP(CONCATENATE($AT28,$AU28,$AV28,$F28),'SKU Dist'!$E$2:$X$200,'SKU Dist'!H$1,FALSE),""))</f>
        <v/>
      </c>
      <c r="O28" s="413" t="str">
        <f>IF(IF($AT28&lt;&gt;"",VLOOKUP(CONCATENATE($AT28,$AU28,$AV28,$F28),'SKU Dist'!$E$2:$X$200,'SKU Dist'!I$1,FALSE),"")=0,"",IF($AT28&lt;&gt;"",VLOOKUP(CONCATENATE($AT28,$AU28,$AV28,$F28),'SKU Dist'!$E$2:$X$200,'SKU Dist'!I$1,FALSE),""))</f>
        <v/>
      </c>
      <c r="P28" s="413" t="str">
        <f>IF(IF($AT28&lt;&gt;"",VLOOKUP(CONCATENATE($AT28,$AU28,$AV28,$F28),'SKU Dist'!$E$2:$X$200,'SKU Dist'!J$1,FALSE),"")=0,"",IF($AT28&lt;&gt;"",VLOOKUP(CONCATENATE($AT28,$AU28,$AV28,$F28),'SKU Dist'!$E$2:$X$200,'SKU Dist'!J$1,FALSE),""))</f>
        <v/>
      </c>
      <c r="Q28" s="413" t="str">
        <f>IF(IF($AT28&lt;&gt;"",VLOOKUP(CONCATENATE($AT28,$AU28,$AV28,$F28),'SKU Dist'!$E$2:$X$200,'SKU Dist'!K$1,FALSE),"")=0,"",IF($AT28&lt;&gt;"",VLOOKUP(CONCATENATE($AT28,$AU28,$AV28,$F28),'SKU Dist'!$E$2:$X$200,'SKU Dist'!K$1,FALSE),""))</f>
        <v/>
      </c>
      <c r="R28" s="413" t="str">
        <f>IF(IF($AT28&lt;&gt;"",VLOOKUP(CONCATENATE($AT28,$AU28,$AV28,$F28),'SKU Dist'!$E$2:$X$200,'SKU Dist'!L$1,FALSE),"")=0,"",IF($AT28&lt;&gt;"",VLOOKUP(CONCATENATE($AT28,$AU28,$AV28,$F28),'SKU Dist'!$E$2:$X$200,'SKU Dist'!L$1,FALSE),""))</f>
        <v/>
      </c>
      <c r="S28" s="413" t="str">
        <f>IF(IF($AT28&lt;&gt;"",VLOOKUP(CONCATENATE($AT28,$AU28,$AV28,$F28),'SKU Dist'!$E$2:$X$200,'SKU Dist'!M$1,FALSE),"")=0,"",IF($AT28&lt;&gt;"",VLOOKUP(CONCATENATE($AT28,$AU28,$AV28,$F28),'SKU Dist'!$E$2:$X$200,'SKU Dist'!M$1,FALSE),""))</f>
        <v/>
      </c>
      <c r="T28" s="413" t="str">
        <f>IF(IF($AT28&lt;&gt;"",VLOOKUP(CONCATENATE($AT28,$AU28,$AV28,$F28),'SKU Dist'!$E$2:$X$200,'SKU Dist'!N$1,FALSE),"")=0,"",IF($AT28&lt;&gt;"",VLOOKUP(CONCATENATE($AT28,$AU28,$AV28,$F28),'SKU Dist'!$E$2:$X$200,'SKU Dist'!N$1,FALSE),""))</f>
        <v/>
      </c>
      <c r="U28" s="413" t="str">
        <f>IF(IF($AT28&lt;&gt;"",VLOOKUP(CONCATENATE($AT28,$AU28,$AV28,$F28),'SKU Dist'!$E$2:$X$200,'SKU Dist'!O$1,FALSE),"")=0,"",IF($AT28&lt;&gt;"",VLOOKUP(CONCATENATE($AT28,$AU28,$AV28,$F28),'SKU Dist'!$E$2:$X$200,'SKU Dist'!O$1,FALSE),""))</f>
        <v/>
      </c>
      <c r="V28" s="413" t="str">
        <f>IF(IF($AT28&lt;&gt;"",VLOOKUP(CONCATENATE($AT28,$AU28,$AV28,$F28),'SKU Dist'!$E$2:$X$200,'SKU Dist'!P$1,FALSE),"")=0,"",IF($AT28&lt;&gt;"",VLOOKUP(CONCATENATE($AT28,$AU28,$AV28,$F28),'SKU Dist'!$E$2:$X$200,'SKU Dist'!P$1,FALSE),""))</f>
        <v/>
      </c>
      <c r="W28" s="413" t="str">
        <f>IF(IF($AT28&lt;&gt;"",VLOOKUP(CONCATENATE($AT28,$AU28,$AV28,$F28),'SKU Dist'!$E$2:$X$200,'SKU Dist'!Q$1,FALSE),"")=0,"",IF($AT28&lt;&gt;"",VLOOKUP(CONCATENATE($AT28,$AU28,$AV28,$F28),'SKU Dist'!$E$2:$X$200,'SKU Dist'!Q$1,FALSE),""))</f>
        <v/>
      </c>
      <c r="X28" s="413" t="str">
        <f>IF(IF($AT28&lt;&gt;"",VLOOKUP(CONCATENATE($AT28,$AU28,$AV28,$F28),'SKU Dist'!$E$2:$X$200,'SKU Dist'!R$1,FALSE),"")=0,"",IF($AT28&lt;&gt;"",VLOOKUP(CONCATENATE($AT28,$AU28,$AV28,$F28),'SKU Dist'!$E$2:$X$200,'SKU Dist'!R$1,FALSE),""))</f>
        <v/>
      </c>
      <c r="Y28" s="413" t="str">
        <f>IF(IF($AT28&lt;&gt;"",VLOOKUP(CONCATENATE($AT28,$AU28,$AV28,$F28),'SKU Dist'!$E$2:$X$200,'SKU Dist'!S$1,FALSE),"")=0,"",IF($AT28&lt;&gt;"",VLOOKUP(CONCATENATE($AT28,$AU28,$AV28,$F28),'SKU Dist'!$E$2:$X$200,'SKU Dist'!S$1,FALSE),""))</f>
        <v/>
      </c>
      <c r="Z28" s="413" t="str">
        <f>IF(IF($AT28&lt;&gt;"",VLOOKUP(CONCATENATE($AT28,$AU28,$AV28,$F28),'SKU Dist'!$E$2:$X$200,'SKU Dist'!T$1,FALSE),"")=0,"",IF($AT28&lt;&gt;"",VLOOKUP(CONCATENATE($AT28,$AU28,$AV28,$F28),'SKU Dist'!$E$2:$X$200,'SKU Dist'!T$1,FALSE),""))</f>
        <v/>
      </c>
      <c r="AA28" s="413" t="str">
        <f>IF(IF($AT28&lt;&gt;"",VLOOKUP(CONCATENATE($AT28,$AU28,$AV28,$F28),'SKU Dist'!$E$2:$X$200,'SKU Dist'!U$1,FALSE),"")=0,"",IF($AT28&lt;&gt;"",VLOOKUP(CONCATENATE($AT28,$AU28,$AV28,$F28),'SKU Dist'!$E$2:$X$200,'SKU Dist'!U$1,FALSE),""))</f>
        <v/>
      </c>
      <c r="AB28" s="413" t="str">
        <f>IF(IF($AT28&lt;&gt;"",VLOOKUP(CONCATENATE($AT28,$AU28,$AV28,$F28),'SKU Dist'!$E$2:$X$200,'SKU Dist'!V$1,FALSE),"")=0,"",IF($AT28&lt;&gt;"",VLOOKUP(CONCATENATE($AT28,$AU28,$AV28,$F28),'SKU Dist'!$E$2:$X$200,'SKU Dist'!V$1,FALSE),""))</f>
        <v/>
      </c>
      <c r="AC28" s="413" t="str">
        <f>IF(IF($AT28&lt;&gt;"",VLOOKUP(CONCATENATE($AT28,$AU28,$AV28,$F28),'SKU Dist'!$E$2:$X$200,'SKU Dist'!W$1,FALSE),"")=0,"",IF($AT28&lt;&gt;"",VLOOKUP(CONCATENATE($AT28,$AU28,$AV28,$F28),'SKU Dist'!$E$2:$X$200,'SKU Dist'!W$1,FALSE),""))</f>
        <v/>
      </c>
      <c r="AD28" s="387"/>
      <c r="AE28" s="387"/>
      <c r="AF28" s="785"/>
      <c r="AG28" s="804">
        <f>SUM(G28:AF28)</f>
        <v>0</v>
      </c>
      <c r="AH28" s="816">
        <v>130</v>
      </c>
      <c r="AI28" s="943">
        <f t="shared" ref="AI28:AI32" si="21">AG28*AH28</f>
        <v>0</v>
      </c>
      <c r="AJ28" s="932"/>
      <c r="AT28" s="222" t="str">
        <f t="shared" si="1"/>
        <v/>
      </c>
      <c r="AU28" s="206" t="s">
        <v>9</v>
      </c>
      <c r="AV28" s="206" t="s">
        <v>10</v>
      </c>
    </row>
    <row r="29" spans="1:48" s="39" customFormat="1" ht="15" x14ac:dyDescent="0.2">
      <c r="A29" s="743"/>
      <c r="B29" s="1031"/>
      <c r="C29" s="857" t="s">
        <v>255</v>
      </c>
      <c r="D29" s="868" t="s">
        <v>259</v>
      </c>
      <c r="E29" s="888">
        <v>3741</v>
      </c>
      <c r="F29" s="887" t="s">
        <v>68</v>
      </c>
      <c r="G29" s="641"/>
      <c r="H29" s="392"/>
      <c r="I29" s="392"/>
      <c r="J29" s="392"/>
      <c r="K29" s="392"/>
      <c r="L29" s="392"/>
      <c r="M29" s="392"/>
      <c r="N29" s="389" t="str">
        <f>IF(IF($AT29&lt;&gt;"",VLOOKUP(CONCATENATE($AT29,$AU29,$AV29,$F29),'SKU Dist'!$E$2:$X$200,'SKU Dist'!H$1,FALSE),"")=0,"",IF($AT29&lt;&gt;"",VLOOKUP(CONCATENATE($AT29,$AU29,$AV29,$F29),'SKU Dist'!$E$2:$X$200,'SKU Dist'!H$1,FALSE),""))</f>
        <v/>
      </c>
      <c r="O29" s="389" t="str">
        <f>IF(IF($AT29&lt;&gt;"",VLOOKUP(CONCATENATE($AT29,$AU29,$AV29,$F29),'SKU Dist'!$E$2:$X$200,'SKU Dist'!I$1,FALSE),"")=0,"",IF($AT29&lt;&gt;"",VLOOKUP(CONCATENATE($AT29,$AU29,$AV29,$F29),'SKU Dist'!$E$2:$X$200,'SKU Dist'!I$1,FALSE),""))</f>
        <v/>
      </c>
      <c r="P29" s="389" t="str">
        <f>IF(IF($AT29&lt;&gt;"",VLOOKUP(CONCATENATE($AT29,$AU29,$AV29,$F29),'SKU Dist'!$E$2:$X$200,'SKU Dist'!J$1,FALSE),"")=0,"",IF($AT29&lt;&gt;"",VLOOKUP(CONCATENATE($AT29,$AU29,$AV29,$F29),'SKU Dist'!$E$2:$X$200,'SKU Dist'!J$1,FALSE),""))</f>
        <v/>
      </c>
      <c r="Q29" s="389" t="str">
        <f>IF(IF($AT29&lt;&gt;"",VLOOKUP(CONCATENATE($AT29,$AU29,$AV29,$F29),'SKU Dist'!$E$2:$X$200,'SKU Dist'!K$1,FALSE),"")=0,"",IF($AT29&lt;&gt;"",VLOOKUP(CONCATENATE($AT29,$AU29,$AV29,$F29),'SKU Dist'!$E$2:$X$200,'SKU Dist'!K$1,FALSE),""))</f>
        <v/>
      </c>
      <c r="R29" s="389" t="str">
        <f>IF(IF($AT29&lt;&gt;"",VLOOKUP(CONCATENATE($AT29,$AU29,$AV29,$F29),'SKU Dist'!$E$2:$X$200,'SKU Dist'!L$1,FALSE),"")=0,"",IF($AT29&lt;&gt;"",VLOOKUP(CONCATENATE($AT29,$AU29,$AV29,$F29),'SKU Dist'!$E$2:$X$200,'SKU Dist'!L$1,FALSE),""))</f>
        <v/>
      </c>
      <c r="S29" s="389" t="str">
        <f>IF(IF($AT29&lt;&gt;"",VLOOKUP(CONCATENATE($AT29,$AU29,$AV29,$F29),'SKU Dist'!$E$2:$X$200,'SKU Dist'!M$1,FALSE),"")=0,"",IF($AT29&lt;&gt;"",VLOOKUP(CONCATENATE($AT29,$AU29,$AV29,$F29),'SKU Dist'!$E$2:$X$200,'SKU Dist'!M$1,FALSE),""))</f>
        <v/>
      </c>
      <c r="T29" s="389" t="str">
        <f>IF(IF($AT29&lt;&gt;"",VLOOKUP(CONCATENATE($AT29,$AU29,$AV29,$F29),'SKU Dist'!$E$2:$X$200,'SKU Dist'!N$1,FALSE),"")=0,"",IF($AT29&lt;&gt;"",VLOOKUP(CONCATENATE($AT29,$AU29,$AV29,$F29),'SKU Dist'!$E$2:$X$200,'SKU Dist'!N$1,FALSE),""))</f>
        <v/>
      </c>
      <c r="U29" s="389" t="str">
        <f>IF(IF($AT29&lt;&gt;"",VLOOKUP(CONCATENATE($AT29,$AU29,$AV29,$F29),'SKU Dist'!$E$2:$X$200,'SKU Dist'!O$1,FALSE),"")=0,"",IF($AT29&lt;&gt;"",VLOOKUP(CONCATENATE($AT29,$AU29,$AV29,$F29),'SKU Dist'!$E$2:$X$200,'SKU Dist'!O$1,FALSE),""))</f>
        <v/>
      </c>
      <c r="V29" s="389" t="str">
        <f>IF(IF($AT29&lt;&gt;"",VLOOKUP(CONCATENATE($AT29,$AU29,$AV29,$F29),'SKU Dist'!$E$2:$X$200,'SKU Dist'!P$1,FALSE),"")=0,"",IF($AT29&lt;&gt;"",VLOOKUP(CONCATENATE($AT29,$AU29,$AV29,$F29),'SKU Dist'!$E$2:$X$200,'SKU Dist'!P$1,FALSE),""))</f>
        <v/>
      </c>
      <c r="W29" s="389" t="str">
        <f>IF(IF($AT29&lt;&gt;"",VLOOKUP(CONCATENATE($AT29,$AU29,$AV29,$F29),'SKU Dist'!$E$2:$X$200,'SKU Dist'!Q$1,FALSE),"")=0,"",IF($AT29&lt;&gt;"",VLOOKUP(CONCATENATE($AT29,$AU29,$AV29,$F29),'SKU Dist'!$E$2:$X$200,'SKU Dist'!Q$1,FALSE),""))</f>
        <v/>
      </c>
      <c r="X29" s="389" t="str">
        <f>IF(IF($AT29&lt;&gt;"",VLOOKUP(CONCATENATE($AT29,$AU29,$AV29,$F29),'SKU Dist'!$E$2:$X$200,'SKU Dist'!R$1,FALSE),"")=0,"",IF($AT29&lt;&gt;"",VLOOKUP(CONCATENATE($AT29,$AU29,$AV29,$F29),'SKU Dist'!$E$2:$X$200,'SKU Dist'!R$1,FALSE),""))</f>
        <v/>
      </c>
      <c r="Y29" s="389" t="str">
        <f>IF(IF($AT29&lt;&gt;"",VLOOKUP(CONCATENATE($AT29,$AU29,$AV29,$F29),'SKU Dist'!$E$2:$X$200,'SKU Dist'!S$1,FALSE),"")=0,"",IF($AT29&lt;&gt;"",VLOOKUP(CONCATENATE($AT29,$AU29,$AV29,$F29),'SKU Dist'!$E$2:$X$200,'SKU Dist'!S$1,FALSE),""))</f>
        <v/>
      </c>
      <c r="Z29" s="389" t="str">
        <f>IF(IF($AT29&lt;&gt;"",VLOOKUP(CONCATENATE($AT29,$AU29,$AV29,$F29),'SKU Dist'!$E$2:$X$200,'SKU Dist'!T$1,FALSE),"")=0,"",IF($AT29&lt;&gt;"",VLOOKUP(CONCATENATE($AT29,$AU29,$AV29,$F29),'SKU Dist'!$E$2:$X$200,'SKU Dist'!T$1,FALSE),""))</f>
        <v/>
      </c>
      <c r="AA29" s="389" t="str">
        <f>IF(IF($AT29&lt;&gt;"",VLOOKUP(CONCATENATE($AT29,$AU29,$AV29,$F29),'SKU Dist'!$E$2:$X$200,'SKU Dist'!U$1,FALSE),"")=0,"",IF($AT29&lt;&gt;"",VLOOKUP(CONCATENATE($AT29,$AU29,$AV29,$F29),'SKU Dist'!$E$2:$X$200,'SKU Dist'!U$1,FALSE),""))</f>
        <v/>
      </c>
      <c r="AB29" s="389" t="str">
        <f>IF(IF($AT29&lt;&gt;"",VLOOKUP(CONCATENATE($AT29,$AU29,$AV29,$F29),'SKU Dist'!$E$2:$X$200,'SKU Dist'!V$1,FALSE),"")=0,"",IF($AT29&lt;&gt;"",VLOOKUP(CONCATENATE($AT29,$AU29,$AV29,$F29),'SKU Dist'!$E$2:$X$200,'SKU Dist'!V$1,FALSE),""))</f>
        <v/>
      </c>
      <c r="AC29" s="389" t="str">
        <f>IF(IF($AT29&lt;&gt;"",VLOOKUP(CONCATENATE($AT29,$AU29,$AV29,$F29),'SKU Dist'!$E$2:$X$200,'SKU Dist'!W$1,FALSE),"")=0,"",IF($AT29&lt;&gt;"",VLOOKUP(CONCATENATE($AT29,$AU29,$AV29,$F29),'SKU Dist'!$E$2:$X$200,'SKU Dist'!W$1,FALSE),""))</f>
        <v/>
      </c>
      <c r="AD29" s="390"/>
      <c r="AE29" s="390"/>
      <c r="AF29" s="585"/>
      <c r="AG29" s="804">
        <f>SUM(G29:AF29)</f>
        <v>0</v>
      </c>
      <c r="AH29" s="817">
        <v>130</v>
      </c>
      <c r="AI29" s="943">
        <f t="shared" si="21"/>
        <v>0</v>
      </c>
      <c r="AJ29" s="926"/>
      <c r="AK29" s="5"/>
      <c r="AT29" s="222" t="str">
        <f t="shared" si="1"/>
        <v/>
      </c>
      <c r="AU29" s="206" t="s">
        <v>9</v>
      </c>
      <c r="AV29" s="206" t="s">
        <v>10</v>
      </c>
    </row>
    <row r="30" spans="1:48" s="39" customFormat="1" ht="15.75" x14ac:dyDescent="0.2">
      <c r="A30" s="630"/>
      <c r="B30" s="1031"/>
      <c r="C30" s="858" t="s">
        <v>255</v>
      </c>
      <c r="D30" s="869" t="s">
        <v>259</v>
      </c>
      <c r="E30" s="893">
        <v>3741</v>
      </c>
      <c r="F30" s="889" t="s">
        <v>69</v>
      </c>
      <c r="G30" s="645"/>
      <c r="H30" s="632"/>
      <c r="I30" s="632"/>
      <c r="J30" s="632"/>
      <c r="K30" s="632"/>
      <c r="L30" s="632"/>
      <c r="M30" s="632"/>
      <c r="N30" s="632"/>
      <c r="O30" s="632"/>
      <c r="P30" s="632"/>
      <c r="Q30" s="632"/>
      <c r="R30" s="779" t="str">
        <f>IF(IF($AT30&lt;&gt;"",VLOOKUP(CONCATENATE($AT30,$AU30,$AV30,$F30),'SKU Dist'!$E$2:$X$200,'SKU Dist'!L$1,FALSE),"")=0,"",IF($AT30&lt;&gt;"",VLOOKUP(CONCATENATE($AT30,$AU30,$AV30,$F30),'SKU Dist'!$E$2:$X$200,'SKU Dist'!L$1,FALSE),""))</f>
        <v/>
      </c>
      <c r="S30" s="779" t="str">
        <f>IF(IF($AT30&lt;&gt;"",VLOOKUP(CONCATENATE($AT30,$AU30,$AV30,$F30),'SKU Dist'!$E$2:$X$200,'SKU Dist'!M$1,FALSE),"")=0,"",IF($AT30&lt;&gt;"",VLOOKUP(CONCATENATE($AT30,$AU30,$AV30,$F30),'SKU Dist'!$E$2:$X$200,'SKU Dist'!M$1,FALSE),""))</f>
        <v/>
      </c>
      <c r="T30" s="779" t="str">
        <f>IF(IF($AT30&lt;&gt;"",VLOOKUP(CONCATENATE($AT30,$AU30,$AV30,$F30),'SKU Dist'!$E$2:$X$200,'SKU Dist'!N$1,FALSE),"")=0,"",IF($AT30&lt;&gt;"",VLOOKUP(CONCATENATE($AT30,$AU30,$AV30,$F30),'SKU Dist'!$E$2:$X$200,'SKU Dist'!N$1,FALSE),""))</f>
        <v/>
      </c>
      <c r="U30" s="779" t="str">
        <f>IF(IF($AT30&lt;&gt;"",VLOOKUP(CONCATENATE($AT30,$AU30,$AV30,$F30),'SKU Dist'!$E$2:$X$200,'SKU Dist'!O$1,FALSE),"")=0,"",IF($AT30&lt;&gt;"",VLOOKUP(CONCATENATE($AT30,$AU30,$AV30,$F30),'SKU Dist'!$E$2:$X$200,'SKU Dist'!O$1,FALSE),""))</f>
        <v/>
      </c>
      <c r="V30" s="779" t="str">
        <f>IF(IF($AT30&lt;&gt;"",VLOOKUP(CONCATENATE($AT30,$AU30,$AV30,$F30),'SKU Dist'!$E$2:$X$200,'SKU Dist'!P$1,FALSE),"")=0,"",IF($AT30&lt;&gt;"",VLOOKUP(CONCATENATE($AT30,$AU30,$AV30,$F30),'SKU Dist'!$E$2:$X$200,'SKU Dist'!P$1,FALSE),""))</f>
        <v/>
      </c>
      <c r="W30" s="779" t="str">
        <f>IF(IF($AT30&lt;&gt;"",VLOOKUP(CONCATENATE($AT30,$AU30,$AV30,$F30),'SKU Dist'!$E$2:$X$200,'SKU Dist'!Q$1,FALSE),"")=0,"",IF($AT30&lt;&gt;"",VLOOKUP(CONCATENATE($AT30,$AU30,$AV30,$F30),'SKU Dist'!$E$2:$X$200,'SKU Dist'!Q$1,FALSE),""))</f>
        <v/>
      </c>
      <c r="X30" s="779" t="str">
        <f>IF(IF($AT30&lt;&gt;"",VLOOKUP(CONCATENATE($AT30,$AU30,$AV30,$F30),'SKU Dist'!$E$2:$X$200,'SKU Dist'!R$1,FALSE),"")=0,"",IF($AT30&lt;&gt;"",VLOOKUP(CONCATENATE($AT30,$AU30,$AV30,$F30),'SKU Dist'!$E$2:$X$200,'SKU Dist'!R$1,FALSE),""))</f>
        <v/>
      </c>
      <c r="Y30" s="779" t="str">
        <f>IF(IF($AT30&lt;&gt;"",VLOOKUP(CONCATENATE($AT30,$AU30,$AV30,$F30),'SKU Dist'!$E$2:$X$200,'SKU Dist'!S$1,FALSE),"")=0,"",IF($AT30&lt;&gt;"",VLOOKUP(CONCATENATE($AT30,$AU30,$AV30,$F30),'SKU Dist'!$E$2:$X$200,'SKU Dist'!S$1,FALSE),""))</f>
        <v/>
      </c>
      <c r="Z30" s="779" t="str">
        <f>IF(IF($AT30&lt;&gt;"",VLOOKUP(CONCATENATE($AT30,$AU30,$AV30,$F30),'SKU Dist'!$E$2:$X$200,'SKU Dist'!T$1,FALSE),"")=0,"",IF($AT30&lt;&gt;"",VLOOKUP(CONCATENATE($AT30,$AU30,$AV30,$F30),'SKU Dist'!$E$2:$X$200,'SKU Dist'!T$1,FALSE),""))</f>
        <v/>
      </c>
      <c r="AA30" s="779" t="str">
        <f>IF(IF($AT30&lt;&gt;"",VLOOKUP(CONCATENATE($AT30,$AU30,$AV30,$F30),'SKU Dist'!$E$2:$X$200,'SKU Dist'!U$1,FALSE),"")=0,"",IF($AT30&lt;&gt;"",VLOOKUP(CONCATENATE($AT30,$AU30,$AV30,$F30),'SKU Dist'!$E$2:$X$200,'SKU Dist'!U$1,FALSE),""))</f>
        <v/>
      </c>
      <c r="AB30" s="779" t="str">
        <f>IF(IF($AT30&lt;&gt;"",VLOOKUP(CONCATENATE($AT30,$AU30,$AV30,$F30),'SKU Dist'!$E$2:$X$200,'SKU Dist'!V$1,FALSE),"")=0,"",IF($AT30&lt;&gt;"",VLOOKUP(CONCATENATE($AT30,$AU30,$AV30,$F30),'SKU Dist'!$E$2:$X$200,'SKU Dist'!V$1,FALSE),""))</f>
        <v/>
      </c>
      <c r="AC30" s="633"/>
      <c r="AD30" s="633"/>
      <c r="AE30" s="633"/>
      <c r="AF30" s="634"/>
      <c r="AG30" s="808">
        <f t="shared" ref="AG30" si="22">SUM(G30:AF30)</f>
        <v>0</v>
      </c>
      <c r="AH30" s="820">
        <v>130</v>
      </c>
      <c r="AI30" s="944">
        <f t="shared" si="21"/>
        <v>0</v>
      </c>
      <c r="AJ30" s="927"/>
      <c r="AK30" s="5"/>
      <c r="AT30" s="222" t="str">
        <f t="shared" si="1"/>
        <v/>
      </c>
      <c r="AU30" s="206" t="s">
        <v>9</v>
      </c>
      <c r="AV30" s="206" t="s">
        <v>10</v>
      </c>
    </row>
    <row r="31" spans="1:48" ht="15" x14ac:dyDescent="0.2">
      <c r="A31" s="780"/>
      <c r="B31" s="1029"/>
      <c r="C31" s="861" t="s">
        <v>255</v>
      </c>
      <c r="D31" s="873" t="s">
        <v>259</v>
      </c>
      <c r="E31" s="900" t="s">
        <v>265</v>
      </c>
      <c r="F31" s="898" t="s">
        <v>26</v>
      </c>
      <c r="G31" s="643"/>
      <c r="H31" s="433"/>
      <c r="I31" s="433"/>
      <c r="J31" s="433"/>
      <c r="K31" s="635"/>
      <c r="L31" s="635" t="str">
        <f>IF(IF($AT31&lt;&gt;"",VLOOKUP(CONCATENATE($AT31,$AU31,$AV31,$F31),'SKU Dist'!$E$2:$X$200,'SKU Dist'!F$1,FALSE),"")=0,"",IF($AT31&lt;&gt;"",VLOOKUP(CONCATENATE($AT31,$AU31,$AV31,$F31),'SKU Dist'!$E$2:$X$200,'SKU Dist'!F$1,FALSE),""))</f>
        <v/>
      </c>
      <c r="M31" s="635" t="str">
        <f>IF(IF($AT31&lt;&gt;"",VLOOKUP(CONCATENATE($AT31,$AU31,$AV31,$F31),'SKU Dist'!$E$2:$X$200,'SKU Dist'!G$1,FALSE),"")=0,"",IF($AT31&lt;&gt;"",VLOOKUP(CONCATENATE($AT31,$AU31,$AV31,$F31),'SKU Dist'!$E$2:$X$200,'SKU Dist'!G$1,FALSE),""))</f>
        <v/>
      </c>
      <c r="N31" s="635" t="str">
        <f>IF(IF($AT31&lt;&gt;"",VLOOKUP(CONCATENATE($AT31,$AU31,$AV31,$F31),'SKU Dist'!$E$2:$X$200,'SKU Dist'!H$1,FALSE),"")=0,"",IF($AT31&lt;&gt;"",VLOOKUP(CONCATENATE($AT31,$AU31,$AV31,$F31),'SKU Dist'!$E$2:$X$200,'SKU Dist'!H$1,FALSE),""))</f>
        <v/>
      </c>
      <c r="O31" s="635" t="str">
        <f>IF(IF($AT31&lt;&gt;"",VLOOKUP(CONCATENATE($AT31,$AU31,$AV31,$F31),'SKU Dist'!$E$2:$X$200,'SKU Dist'!I$1,FALSE),"")=0,"",IF($AT31&lt;&gt;"",VLOOKUP(CONCATENATE($AT31,$AU31,$AV31,$F31),'SKU Dist'!$E$2:$X$200,'SKU Dist'!I$1,FALSE),""))</f>
        <v/>
      </c>
      <c r="P31" s="635" t="str">
        <f>IF(IF($AT31&lt;&gt;"",VLOOKUP(CONCATENATE($AT31,$AU31,$AV31,$F31),'SKU Dist'!$E$2:$X$200,'SKU Dist'!J$1,FALSE),"")=0,"",IF($AT31&lt;&gt;"",VLOOKUP(CONCATENATE($AT31,$AU31,$AV31,$F31),'SKU Dist'!$E$2:$X$200,'SKU Dist'!J$1,FALSE),""))</f>
        <v/>
      </c>
      <c r="Q31" s="635" t="str">
        <f>IF(IF($AT31&lt;&gt;"",VLOOKUP(CONCATENATE($AT31,$AU31,$AV31,$F31),'SKU Dist'!$E$2:$X$200,'SKU Dist'!K$1,FALSE),"")=0,"",IF($AT31&lt;&gt;"",VLOOKUP(CONCATENATE($AT31,$AU31,$AV31,$F31),'SKU Dist'!$E$2:$X$200,'SKU Dist'!K$1,FALSE),""))</f>
        <v/>
      </c>
      <c r="R31" s="635" t="str">
        <f>IF(IF($AT31&lt;&gt;"",VLOOKUP(CONCATENATE($AT31,$AU31,$AV31,$F31),'SKU Dist'!$E$2:$X$200,'SKU Dist'!L$1,FALSE),"")=0,"",IF($AT31&lt;&gt;"",VLOOKUP(CONCATENATE($AT31,$AU31,$AV31,$F31),'SKU Dist'!$E$2:$X$200,'SKU Dist'!L$1,FALSE),""))</f>
        <v/>
      </c>
      <c r="S31" s="635" t="str">
        <f>IF(IF($AT31&lt;&gt;"",VLOOKUP(CONCATENATE($AT31,$AU31,$AV31,$F31),'SKU Dist'!$E$2:$X$200,'SKU Dist'!M$1,FALSE),"")=0,"",IF($AT31&lt;&gt;"",VLOOKUP(CONCATENATE($AT31,$AU31,$AV31,$F31),'SKU Dist'!$E$2:$X$200,'SKU Dist'!M$1,FALSE),""))</f>
        <v/>
      </c>
      <c r="T31" s="635" t="str">
        <f>IF(IF($AT31&lt;&gt;"",VLOOKUP(CONCATENATE($AT31,$AU31,$AV31,$F31),'SKU Dist'!$E$2:$X$200,'SKU Dist'!N$1,FALSE),"")=0,"",IF($AT31&lt;&gt;"",VLOOKUP(CONCATENATE($AT31,$AU31,$AV31,$F31),'SKU Dist'!$E$2:$X$200,'SKU Dist'!N$1,FALSE),""))</f>
        <v/>
      </c>
      <c r="U31" s="635" t="str">
        <f>IF(IF($AT31&lt;&gt;"",VLOOKUP(CONCATENATE($AT31,$AU31,$AV31,$F31),'SKU Dist'!$E$2:$X$200,'SKU Dist'!O$1,FALSE),"")=0,"",IF($AT31&lt;&gt;"",VLOOKUP(CONCATENATE($AT31,$AU31,$AV31,$F31),'SKU Dist'!$E$2:$X$200,'SKU Dist'!O$1,FALSE),""))</f>
        <v/>
      </c>
      <c r="V31" s="635" t="str">
        <f>IF(IF($AT31&lt;&gt;"",VLOOKUP(CONCATENATE($AT31,$AU31,$AV31,$F31),'SKU Dist'!$E$2:$X$200,'SKU Dist'!P$1,FALSE),"")=0,"",IF($AT31&lt;&gt;"",VLOOKUP(CONCATENATE($AT31,$AU31,$AV31,$F31),'SKU Dist'!$E$2:$X$200,'SKU Dist'!P$1,FALSE),""))</f>
        <v/>
      </c>
      <c r="W31" s="635" t="str">
        <f>IF(IF($AT31&lt;&gt;"",VLOOKUP(CONCATENATE($AT31,$AU31,$AV31,$F31),'SKU Dist'!$E$2:$X$200,'SKU Dist'!Q$1,FALSE),"")=0,"",IF($AT31&lt;&gt;"",VLOOKUP(CONCATENATE($AT31,$AU31,$AV31,$F31),'SKU Dist'!$E$2:$X$200,'SKU Dist'!Q$1,FALSE),""))</f>
        <v/>
      </c>
      <c r="X31" s="635" t="str">
        <f>IF(IF($AT31&lt;&gt;"",VLOOKUP(CONCATENATE($AT31,$AU31,$AV31,$F31),'SKU Dist'!$E$2:$X$200,'SKU Dist'!R$1,FALSE),"")=0,"",IF($AT31&lt;&gt;"",VLOOKUP(CONCATENATE($AT31,$AU31,$AV31,$F31),'SKU Dist'!$E$2:$X$200,'SKU Dist'!R$1,FALSE),""))</f>
        <v/>
      </c>
      <c r="Y31" s="434" t="str">
        <f>IF(IF($AT31&lt;&gt;"",VLOOKUP(CONCATENATE($AT31,$AU31,$AV31,$F31),'SKU Dist'!$E$2:$X$200,'SKU Dist'!S$1,FALSE),"")=0,"",IF($AT31&lt;&gt;"",VLOOKUP(CONCATENATE($AT31,$AU31,$AV31,$F31),'SKU Dist'!$E$2:$X$200,'SKU Dist'!S$1,FALSE),""))</f>
        <v/>
      </c>
      <c r="Z31" s="390" t="str">
        <f>IF(IF($AT31&lt;&gt;"",VLOOKUP(CONCATENATE($AT31,$AU31,$AV31,$F31),'SKU Dist'!$E$2:$X$200,'SKU Dist'!T$1,FALSE),"")=0,"",IF($AT31&lt;&gt;"",VLOOKUP(CONCATENATE($AT31,$AU31,$AV31,$F31),'SKU Dist'!$E$2:$X$200,'SKU Dist'!T$1,FALSE),""))</f>
        <v/>
      </c>
      <c r="AA31" s="390" t="str">
        <f>IF(IF($AT31&lt;&gt;"",VLOOKUP(CONCATENATE($AT31,$AU31,$AV31,$F31),'SKU Dist'!$E$2:$X$200,'SKU Dist'!U$1,FALSE),"")=0,"",IF($AT31&lt;&gt;"",VLOOKUP(CONCATENATE($AT31,$AU31,$AV31,$F31),'SKU Dist'!$E$2:$X$200,'SKU Dist'!U$1,FALSE),""))</f>
        <v/>
      </c>
      <c r="AB31" s="390"/>
      <c r="AC31" s="390"/>
      <c r="AD31" s="390"/>
      <c r="AE31" s="434"/>
      <c r="AF31" s="434"/>
      <c r="AG31" s="803">
        <f t="shared" ref="AG31:AG32" si="23">SUM(G31:AF31)</f>
        <v>0</v>
      </c>
      <c r="AH31" s="814">
        <v>145</v>
      </c>
      <c r="AI31" s="948">
        <f t="shared" si="21"/>
        <v>0</v>
      </c>
      <c r="AJ31" s="931"/>
      <c r="AT31" s="222"/>
      <c r="AU31" s="206" t="s">
        <v>9</v>
      </c>
      <c r="AV31" s="152" t="s">
        <v>17</v>
      </c>
    </row>
    <row r="32" spans="1:48" ht="15.75" thickBot="1" x14ac:dyDescent="0.25">
      <c r="A32" s="789"/>
      <c r="B32" s="1034"/>
      <c r="C32" s="862" t="s">
        <v>255</v>
      </c>
      <c r="D32" s="874" t="s">
        <v>259</v>
      </c>
      <c r="E32" s="901" t="s">
        <v>265</v>
      </c>
      <c r="F32" s="902" t="s">
        <v>35</v>
      </c>
      <c r="G32" s="880"/>
      <c r="H32" s="393"/>
      <c r="I32" s="393"/>
      <c r="J32" s="393"/>
      <c r="K32" s="636"/>
      <c r="L32" s="636" t="str">
        <f>IF(IF($AT32&lt;&gt;"",VLOOKUP(CONCATENATE($AT32,$AU32,$AV32,$F32),'SKU Dist'!$E$2:$X$200,'SKU Dist'!F$1,FALSE),"")=0,"",IF($AT32&lt;&gt;"",VLOOKUP(CONCATENATE($AT32,$AU32,$AV32,$F32),'SKU Dist'!$E$2:$X$200,'SKU Dist'!F$1,FALSE),""))</f>
        <v/>
      </c>
      <c r="M32" s="636" t="str">
        <f>IF(IF($AT32&lt;&gt;"",VLOOKUP(CONCATENATE($AT32,$AU32,$AV32,$F32),'SKU Dist'!$E$2:$X$200,'SKU Dist'!G$1,FALSE),"")=0,"",IF($AT32&lt;&gt;"",VLOOKUP(CONCATENATE($AT32,$AU32,$AV32,$F32),'SKU Dist'!$E$2:$X$200,'SKU Dist'!G$1,FALSE),""))</f>
        <v/>
      </c>
      <c r="N32" s="636" t="str">
        <f>IF(IF($AT32&lt;&gt;"",VLOOKUP(CONCATENATE($AT32,$AU32,$AV32,$F32),'SKU Dist'!$E$2:$X$200,'SKU Dist'!H$1,FALSE),"")=0,"",IF($AT32&lt;&gt;"",VLOOKUP(CONCATENATE($AT32,$AU32,$AV32,$F32),'SKU Dist'!$E$2:$X$200,'SKU Dist'!H$1,FALSE),""))</f>
        <v/>
      </c>
      <c r="O32" s="636" t="str">
        <f>IF(IF($AT32&lt;&gt;"",VLOOKUP(CONCATENATE($AT32,$AU32,$AV32,$F32),'SKU Dist'!$E$2:$X$200,'SKU Dist'!I$1,FALSE),"")=0,"",IF($AT32&lt;&gt;"",VLOOKUP(CONCATENATE($AT32,$AU32,$AV32,$F32),'SKU Dist'!$E$2:$X$200,'SKU Dist'!I$1,FALSE),""))</f>
        <v/>
      </c>
      <c r="P32" s="636" t="str">
        <f>IF(IF($AT32&lt;&gt;"",VLOOKUP(CONCATENATE($AT32,$AU32,$AV32,$F32),'SKU Dist'!$E$2:$X$200,'SKU Dist'!J$1,FALSE),"")=0,"",IF($AT32&lt;&gt;"",VLOOKUP(CONCATENATE($AT32,$AU32,$AV32,$F32),'SKU Dist'!$E$2:$X$200,'SKU Dist'!J$1,FALSE),""))</f>
        <v/>
      </c>
      <c r="Q32" s="636" t="str">
        <f>IF(IF($AT32&lt;&gt;"",VLOOKUP(CONCATENATE($AT32,$AU32,$AV32,$F32),'SKU Dist'!$E$2:$X$200,'SKU Dist'!K$1,FALSE),"")=0,"",IF($AT32&lt;&gt;"",VLOOKUP(CONCATENATE($AT32,$AU32,$AV32,$F32),'SKU Dist'!$E$2:$X$200,'SKU Dist'!K$1,FALSE),""))</f>
        <v/>
      </c>
      <c r="R32" s="636" t="str">
        <f>IF(IF($AT32&lt;&gt;"",VLOOKUP(CONCATENATE($AT32,$AU32,$AV32,$F32),'SKU Dist'!$E$2:$X$200,'SKU Dist'!L$1,FALSE),"")=0,"",IF($AT32&lt;&gt;"",VLOOKUP(CONCATENATE($AT32,$AU32,$AV32,$F32),'SKU Dist'!$E$2:$X$200,'SKU Dist'!L$1,FALSE),""))</f>
        <v/>
      </c>
      <c r="S32" s="636" t="str">
        <f>IF(IF($AT32&lt;&gt;"",VLOOKUP(CONCATENATE($AT32,$AU32,$AV32,$F32),'SKU Dist'!$E$2:$X$200,'SKU Dist'!M$1,FALSE),"")=0,"",IF($AT32&lt;&gt;"",VLOOKUP(CONCATENATE($AT32,$AU32,$AV32,$F32),'SKU Dist'!$E$2:$X$200,'SKU Dist'!M$1,FALSE),""))</f>
        <v/>
      </c>
      <c r="T32" s="636" t="str">
        <f>IF(IF($AT32&lt;&gt;"",VLOOKUP(CONCATENATE($AT32,$AU32,$AV32,$F32),'SKU Dist'!$E$2:$X$200,'SKU Dist'!N$1,FALSE),"")=0,"",IF($AT32&lt;&gt;"",VLOOKUP(CONCATENATE($AT32,$AU32,$AV32,$F32),'SKU Dist'!$E$2:$X$200,'SKU Dist'!N$1,FALSE),""))</f>
        <v/>
      </c>
      <c r="U32" s="636" t="str">
        <f>IF(IF($AT32&lt;&gt;"",VLOOKUP(CONCATENATE($AT32,$AU32,$AV32,$F32),'SKU Dist'!$E$2:$X$200,'SKU Dist'!O$1,FALSE),"")=0,"",IF($AT32&lt;&gt;"",VLOOKUP(CONCATENATE($AT32,$AU32,$AV32,$F32),'SKU Dist'!$E$2:$X$200,'SKU Dist'!O$1,FALSE),""))</f>
        <v/>
      </c>
      <c r="V32" s="636" t="str">
        <f>IF(IF($AT32&lt;&gt;"",VLOOKUP(CONCATENATE($AT32,$AU32,$AV32,$F32),'SKU Dist'!$E$2:$X$200,'SKU Dist'!P$1,FALSE),"")=0,"",IF($AT32&lt;&gt;"",VLOOKUP(CONCATENATE($AT32,$AU32,$AV32,$F32),'SKU Dist'!$E$2:$X$200,'SKU Dist'!P$1,FALSE),""))</f>
        <v/>
      </c>
      <c r="W32" s="636" t="str">
        <f>IF(IF($AT32&lt;&gt;"",VLOOKUP(CONCATENATE($AT32,$AU32,$AV32,$F32),'SKU Dist'!$E$2:$X$200,'SKU Dist'!Q$1,FALSE),"")=0,"",IF($AT32&lt;&gt;"",VLOOKUP(CONCATENATE($AT32,$AU32,$AV32,$F32),'SKU Dist'!$E$2:$X$200,'SKU Dist'!Q$1,FALSE),""))</f>
        <v/>
      </c>
      <c r="X32" s="636" t="str">
        <f>IF(IF($AT32&lt;&gt;"",VLOOKUP(CONCATENATE($AT32,$AU32,$AV32,$F32),'SKU Dist'!$E$2:$X$200,'SKU Dist'!R$1,FALSE),"")=0,"",IF($AT32&lt;&gt;"",VLOOKUP(CONCATENATE($AT32,$AU32,$AV32,$F32),'SKU Dist'!$E$2:$X$200,'SKU Dist'!R$1,FALSE),""))</f>
        <v/>
      </c>
      <c r="Y32" s="391" t="str">
        <f>IF(IF($AT32&lt;&gt;"",VLOOKUP(CONCATENATE($AT32,$AU32,$AV32,$F32),'SKU Dist'!$E$2:$X$200,'SKU Dist'!S$1,FALSE),"")=0,"",IF($AT32&lt;&gt;"",VLOOKUP(CONCATENATE($AT32,$AU32,$AV32,$F32),'SKU Dist'!$E$2:$X$200,'SKU Dist'!S$1,FALSE),""))</f>
        <v/>
      </c>
      <c r="Z32" s="391" t="str">
        <f>IF(IF($AT32&lt;&gt;"",VLOOKUP(CONCATENATE($AT32,$AU32,$AV32,$F32),'SKU Dist'!$E$2:$X$200,'SKU Dist'!T$1,FALSE),"")=0,"",IF($AT32&lt;&gt;"",VLOOKUP(CONCATENATE($AT32,$AU32,$AV32,$F32),'SKU Dist'!$E$2:$X$200,'SKU Dist'!T$1,FALSE),""))</f>
        <v/>
      </c>
      <c r="AA32" s="391" t="str">
        <f>IF(IF($AT32&lt;&gt;"",VLOOKUP(CONCATENATE($AT32,$AU32,$AV32,$F32),'SKU Dist'!$E$2:$X$200,'SKU Dist'!U$1,FALSE),"")=0,"",IF($AT32&lt;&gt;"",VLOOKUP(CONCATENATE($AT32,$AU32,$AV32,$F32),'SKU Dist'!$E$2:$X$200,'SKU Dist'!U$1,FALSE),""))</f>
        <v/>
      </c>
      <c r="AB32" s="391"/>
      <c r="AC32" s="391"/>
      <c r="AD32" s="391"/>
      <c r="AE32" s="391"/>
      <c r="AF32" s="391"/>
      <c r="AG32" s="917">
        <f t="shared" si="23"/>
        <v>0</v>
      </c>
      <c r="AH32" s="824">
        <v>145</v>
      </c>
      <c r="AI32" s="949">
        <f t="shared" si="21"/>
        <v>0</v>
      </c>
      <c r="AJ32" s="933"/>
      <c r="AT32" s="222"/>
      <c r="AU32" s="206" t="s">
        <v>9</v>
      </c>
      <c r="AV32" s="152" t="s">
        <v>17</v>
      </c>
    </row>
    <row r="33" spans="1:48" s="39" customFormat="1" ht="15.75" customHeight="1" x14ac:dyDescent="0.25">
      <c r="A33" s="638" t="s">
        <v>211</v>
      </c>
      <c r="B33" s="1037"/>
      <c r="C33" s="856" t="s">
        <v>254</v>
      </c>
      <c r="D33" s="867" t="s">
        <v>291</v>
      </c>
      <c r="E33" s="884">
        <v>1720</v>
      </c>
      <c r="F33" s="885" t="s">
        <v>26</v>
      </c>
      <c r="G33" s="640"/>
      <c r="H33" s="431"/>
      <c r="I33" s="431"/>
      <c r="J33" s="431"/>
      <c r="K33" s="431"/>
      <c r="L33" s="431"/>
      <c r="M33" s="431"/>
      <c r="N33" s="431"/>
      <c r="O33" s="431"/>
      <c r="P33" s="431"/>
      <c r="Q33" s="431"/>
      <c r="R33" s="431"/>
      <c r="S33" s="431"/>
      <c r="T33" s="431"/>
      <c r="U33" s="431"/>
      <c r="V33" s="443" t="str">
        <f>IF(IF($AT33&lt;&gt;"",VLOOKUP(CONCATENATE($AT33,$AU33,$AV33,$F33),'SKU Dist'!$E$2:$X$200,'SKU Dist'!P$1,FALSE),"")=0,"",IF($AT33&lt;&gt;"",VLOOKUP(CONCATENATE($AT33,$AU33,$AV33,$F33),'SKU Dist'!$E$2:$X$200,'SKU Dist'!P$1,FALSE),""))</f>
        <v/>
      </c>
      <c r="W33" s="443" t="str">
        <f>IF(IF($AT33&lt;&gt;"",VLOOKUP(CONCATENATE($AT33,$AU33,$AV33,$F33),'SKU Dist'!$E$2:$X$200,'SKU Dist'!Q$1,FALSE),"")=0,"",IF($AT33&lt;&gt;"",VLOOKUP(CONCATENATE($AT33,$AU33,$AV33,$F33),'SKU Dist'!$E$2:$X$200,'SKU Dist'!Q$1,FALSE),""))</f>
        <v/>
      </c>
      <c r="X33" s="443" t="str">
        <f>IF(IF($AT33&lt;&gt;"",VLOOKUP(CONCATENATE($AT33,$AU33,$AV33,$F33),'SKU Dist'!$E$2:$X$200,'SKU Dist'!R$1,FALSE),"")=0,"",IF($AT33&lt;&gt;"",VLOOKUP(CONCATENATE($AT33,$AU33,$AV33,$F33),'SKU Dist'!$E$2:$X$200,'SKU Dist'!R$1,FALSE),""))</f>
        <v/>
      </c>
      <c r="Y33" s="443" t="str">
        <f>IF(IF($AT33&lt;&gt;"",VLOOKUP(CONCATENATE($AT33,$AU33,$AV33,$F33),'SKU Dist'!$E$2:$X$200,'SKU Dist'!S$1,FALSE),"")=0,"",IF($AT33&lt;&gt;"",VLOOKUP(CONCATENATE($AT33,$AU33,$AV33,$F33),'SKU Dist'!$E$2:$X$200,'SKU Dist'!S$1,FALSE),""))</f>
        <v/>
      </c>
      <c r="Z33" s="443" t="str">
        <f>IF(IF($AT33&lt;&gt;"",VLOOKUP(CONCATENATE($AT33,$AU33,$AV33,$F33),'SKU Dist'!$E$2:$X$200,'SKU Dist'!T$1,FALSE),"")=0,"",IF($AT33&lt;&gt;"",VLOOKUP(CONCATENATE($AT33,$AU33,$AV33,$F33),'SKU Dist'!$E$2:$X$200,'SKU Dist'!T$1,FALSE),""))</f>
        <v/>
      </c>
      <c r="AA33" s="443" t="str">
        <f>IF(IF($AT33&lt;&gt;"",VLOOKUP(CONCATENATE($AT33,$AU33,$AV33,$F33),'SKU Dist'!$E$2:$X$200,'SKU Dist'!U$1,FALSE),"")=0,"",IF($AT33&lt;&gt;"",VLOOKUP(CONCATENATE($AT33,$AU33,$AV33,$F33),'SKU Dist'!$E$2:$X$200,'SKU Dist'!U$1,FALSE),""))</f>
        <v/>
      </c>
      <c r="AB33" s="443" t="str">
        <f>IF(IF($AT33&lt;&gt;"",VLOOKUP(CONCATENATE($AT33,$AU33,$AV33,$F33),'SKU Dist'!$E$2:$X$200,'SKU Dist'!V$1,FALSE),"")=0,"",IF($AT33&lt;&gt;"",VLOOKUP(CONCATENATE($AT33,$AU33,$AV33,$F33),'SKU Dist'!$E$2:$X$200,'SKU Dist'!V$1,FALSE),""))</f>
        <v/>
      </c>
      <c r="AC33" s="431"/>
      <c r="AD33" s="431"/>
      <c r="AE33" s="431"/>
      <c r="AF33" s="431"/>
      <c r="AG33" s="918">
        <f>SUM(G33:AF33)</f>
        <v>0</v>
      </c>
      <c r="AH33" s="922">
        <v>135</v>
      </c>
      <c r="AI33" s="942">
        <f t="shared" ref="AI33:AI35" si="24">AG33*AH33</f>
        <v>0</v>
      </c>
      <c r="AJ33" s="934"/>
      <c r="AK33" s="5"/>
      <c r="AT33" s="222" t="str">
        <f>IF(E33=E30,AT30,IF(B33="","",B33))</f>
        <v/>
      </c>
      <c r="AU33" s="206" t="s">
        <v>9</v>
      </c>
      <c r="AV33" s="206" t="s">
        <v>10</v>
      </c>
    </row>
    <row r="34" spans="1:48" s="39" customFormat="1" ht="15.75" x14ac:dyDescent="0.2">
      <c r="A34" s="639" t="s">
        <v>258</v>
      </c>
      <c r="B34" s="1031"/>
      <c r="C34" s="857" t="s">
        <v>254</v>
      </c>
      <c r="D34" s="868" t="s">
        <v>291</v>
      </c>
      <c r="E34" s="888">
        <v>1720</v>
      </c>
      <c r="F34" s="887" t="s">
        <v>35</v>
      </c>
      <c r="G34" s="641"/>
      <c r="H34" s="392"/>
      <c r="I34" s="392"/>
      <c r="J34" s="392"/>
      <c r="K34" s="392"/>
      <c r="L34" s="392"/>
      <c r="M34" s="392"/>
      <c r="N34" s="389" t="str">
        <f>IF(IF($AT34&lt;&gt;"",VLOOKUP(CONCATENATE($AT34,$AU34,$AV34,$F34),'SKU Dist'!$E$2:$X$200,'SKU Dist'!H$1,FALSE),"")=0,"",IF($AT34&lt;&gt;"",VLOOKUP(CONCATENATE($AT34,$AU34,$AV34,$F34),'SKU Dist'!$E$2:$X$200,'SKU Dist'!H$1,FALSE),""))</f>
        <v/>
      </c>
      <c r="O34" s="389" t="str">
        <f>IF(IF($AT34&lt;&gt;"",VLOOKUP(CONCATENATE($AT34,$AU34,$AV34,$F34),'SKU Dist'!$E$2:$X$200,'SKU Dist'!I$1,FALSE),"")=0,"",IF($AT34&lt;&gt;"",VLOOKUP(CONCATENATE($AT34,$AU34,$AV34,$F34),'SKU Dist'!$E$2:$X$200,'SKU Dist'!I$1,FALSE),""))</f>
        <v/>
      </c>
      <c r="P34" s="389" t="str">
        <f>IF(IF($AT34&lt;&gt;"",VLOOKUP(CONCATENATE($AT34,$AU34,$AV34,$F34),'SKU Dist'!$E$2:$X$200,'SKU Dist'!J$1,FALSE),"")=0,"",IF($AT34&lt;&gt;"",VLOOKUP(CONCATENATE($AT34,$AU34,$AV34,$F34),'SKU Dist'!$E$2:$X$200,'SKU Dist'!J$1,FALSE),""))</f>
        <v/>
      </c>
      <c r="Q34" s="389" t="str">
        <f>IF(IF($AT34&lt;&gt;"",VLOOKUP(CONCATENATE($AT34,$AU34,$AV34,$F34),'SKU Dist'!$E$2:$X$200,'SKU Dist'!K$1,FALSE),"")=0,"",IF($AT34&lt;&gt;"",VLOOKUP(CONCATENATE($AT34,$AU34,$AV34,$F34),'SKU Dist'!$E$2:$X$200,'SKU Dist'!K$1,FALSE),""))</f>
        <v/>
      </c>
      <c r="R34" s="389" t="str">
        <f>IF(IF($AT34&lt;&gt;"",VLOOKUP(CONCATENATE($AT34,$AU34,$AV34,$F34),'SKU Dist'!$E$2:$X$200,'SKU Dist'!L$1,FALSE),"")=0,"",IF($AT34&lt;&gt;"",VLOOKUP(CONCATENATE($AT34,$AU34,$AV34,$F34),'SKU Dist'!$E$2:$X$200,'SKU Dist'!L$1,FALSE),""))</f>
        <v/>
      </c>
      <c r="S34" s="389" t="str">
        <f>IF(IF($AT34&lt;&gt;"",VLOOKUP(CONCATENATE($AT34,$AU34,$AV34,$F34),'SKU Dist'!$E$2:$X$200,'SKU Dist'!M$1,FALSE),"")=0,"",IF($AT34&lt;&gt;"",VLOOKUP(CONCATENATE($AT34,$AU34,$AV34,$F34),'SKU Dist'!$E$2:$X$200,'SKU Dist'!M$1,FALSE),""))</f>
        <v/>
      </c>
      <c r="T34" s="389" t="str">
        <f>IF(IF($AT34&lt;&gt;"",VLOOKUP(CONCATENATE($AT34,$AU34,$AV34,$F34),'SKU Dist'!$E$2:$X$200,'SKU Dist'!N$1,FALSE),"")=0,"",IF($AT34&lt;&gt;"",VLOOKUP(CONCATENATE($AT34,$AU34,$AV34,$F34),'SKU Dist'!$E$2:$X$200,'SKU Dist'!N$1,FALSE),""))</f>
        <v/>
      </c>
      <c r="U34" s="389" t="str">
        <f>IF(IF($AT34&lt;&gt;"",VLOOKUP(CONCATENATE($AT34,$AU34,$AV34,$F34),'SKU Dist'!$E$2:$X$200,'SKU Dist'!O$1,FALSE),"")=0,"",IF($AT34&lt;&gt;"",VLOOKUP(CONCATENATE($AT34,$AU34,$AV34,$F34),'SKU Dist'!$E$2:$X$200,'SKU Dist'!O$1,FALSE),""))</f>
        <v/>
      </c>
      <c r="V34" s="389" t="str">
        <f>IF(IF($AT34&lt;&gt;"",VLOOKUP(CONCATENATE($AT34,$AU34,$AV34,$F34),'SKU Dist'!$E$2:$X$200,'SKU Dist'!P$1,FALSE),"")=0,"",IF($AT34&lt;&gt;"",VLOOKUP(CONCATENATE($AT34,$AU34,$AV34,$F34),'SKU Dist'!$E$2:$X$200,'SKU Dist'!P$1,FALSE),""))</f>
        <v/>
      </c>
      <c r="W34" s="389" t="str">
        <f>IF(IF($AT34&lt;&gt;"",VLOOKUP(CONCATENATE($AT34,$AU34,$AV34,$F34),'SKU Dist'!$E$2:$X$200,'SKU Dist'!Q$1,FALSE),"")=0,"",IF($AT34&lt;&gt;"",VLOOKUP(CONCATENATE($AT34,$AU34,$AV34,$F34),'SKU Dist'!$E$2:$X$200,'SKU Dist'!Q$1,FALSE),""))</f>
        <v/>
      </c>
      <c r="X34" s="389" t="str">
        <f>IF(IF($AT34&lt;&gt;"",VLOOKUP(CONCATENATE($AT34,$AU34,$AV34,$F34),'SKU Dist'!$E$2:$X$200,'SKU Dist'!R$1,FALSE),"")=0,"",IF($AT34&lt;&gt;"",VLOOKUP(CONCATENATE($AT34,$AU34,$AV34,$F34),'SKU Dist'!$E$2:$X$200,'SKU Dist'!R$1,FALSE),""))</f>
        <v/>
      </c>
      <c r="Y34" s="389" t="str">
        <f>IF(IF($AT34&lt;&gt;"",VLOOKUP(CONCATENATE($AT34,$AU34,$AV34,$F34),'SKU Dist'!$E$2:$X$200,'SKU Dist'!S$1,FALSE),"")=0,"",IF($AT34&lt;&gt;"",VLOOKUP(CONCATENATE($AT34,$AU34,$AV34,$F34),'SKU Dist'!$E$2:$X$200,'SKU Dist'!S$1,FALSE),""))</f>
        <v/>
      </c>
      <c r="Z34" s="389" t="str">
        <f>IF(IF($AT34&lt;&gt;"",VLOOKUP(CONCATENATE($AT34,$AU34,$AV34,$F34),'SKU Dist'!$E$2:$X$200,'SKU Dist'!T$1,FALSE),"")=0,"",IF($AT34&lt;&gt;"",VLOOKUP(CONCATENATE($AT34,$AU34,$AV34,$F34),'SKU Dist'!$E$2:$X$200,'SKU Dist'!T$1,FALSE),""))</f>
        <v/>
      </c>
      <c r="AA34" s="389" t="str">
        <f>IF(IF($AT34&lt;&gt;"",VLOOKUP(CONCATENATE($AT34,$AU34,$AV34,$F34),'SKU Dist'!$E$2:$X$200,'SKU Dist'!U$1,FALSE),"")=0,"",IF($AT34&lt;&gt;"",VLOOKUP(CONCATENATE($AT34,$AU34,$AV34,$F34),'SKU Dist'!$E$2:$X$200,'SKU Dist'!U$1,FALSE),""))</f>
        <v/>
      </c>
      <c r="AB34" s="389" t="str">
        <f>IF(IF($AT34&lt;&gt;"",VLOOKUP(CONCATENATE($AT34,$AU34,$AV34,$F34),'SKU Dist'!$E$2:$X$200,'SKU Dist'!V$1,FALSE),"")=0,"",IF($AT34&lt;&gt;"",VLOOKUP(CONCATENATE($AT34,$AU34,$AV34,$F34),'SKU Dist'!$E$2:$X$200,'SKU Dist'!V$1,FALSE),""))</f>
        <v/>
      </c>
      <c r="AC34" s="389" t="str">
        <f>IF(IF($AT34&lt;&gt;"",VLOOKUP(CONCATENATE($AT34,$AU34,$AV34,$F34),'SKU Dist'!$E$2:$X$200,'SKU Dist'!W$1,FALSE),"")=0,"",IF($AT34&lt;&gt;"",VLOOKUP(CONCATENATE($AT34,$AU34,$AV34,$F34),'SKU Dist'!$E$2:$X$200,'SKU Dist'!W$1,FALSE),""))</f>
        <v/>
      </c>
      <c r="AD34" s="390"/>
      <c r="AE34" s="390"/>
      <c r="AF34" s="390"/>
      <c r="AG34" s="919">
        <f t="shared" ref="AG34:AG35" si="25">SUM(G34:AF34)</f>
        <v>0</v>
      </c>
      <c r="AH34" s="817">
        <v>135</v>
      </c>
      <c r="AI34" s="943">
        <f t="shared" si="24"/>
        <v>0</v>
      </c>
      <c r="AJ34" s="926"/>
      <c r="AK34" s="5"/>
      <c r="AT34" s="222" t="str">
        <f t="shared" si="1"/>
        <v/>
      </c>
      <c r="AU34" s="206" t="s">
        <v>9</v>
      </c>
      <c r="AV34" s="206" t="s">
        <v>10</v>
      </c>
    </row>
    <row r="35" spans="1:48" s="39" customFormat="1" ht="15.75" x14ac:dyDescent="0.2">
      <c r="A35" s="630">
        <f>SUM(AG33:AG44)</f>
        <v>38</v>
      </c>
      <c r="B35" s="1031"/>
      <c r="C35" s="857" t="s">
        <v>254</v>
      </c>
      <c r="D35" s="868" t="s">
        <v>291</v>
      </c>
      <c r="E35" s="888">
        <v>1720</v>
      </c>
      <c r="F35" s="887" t="s">
        <v>68</v>
      </c>
      <c r="G35" s="641"/>
      <c r="H35" s="392"/>
      <c r="I35" s="392"/>
      <c r="J35" s="392"/>
      <c r="K35" s="392"/>
      <c r="L35" s="392"/>
      <c r="M35" s="392"/>
      <c r="N35" s="389" t="str">
        <f>IF(IF($AT35&lt;&gt;"",VLOOKUP(CONCATENATE($AT35,$AU35,$AV35,$F35),'SKU Dist'!$E$2:$X$200,'SKU Dist'!H$1,FALSE),"")=0,"",IF($AT35&lt;&gt;"",VLOOKUP(CONCATENATE($AT35,$AU35,$AV35,$F35),'SKU Dist'!$E$2:$X$200,'SKU Dist'!H$1,FALSE),""))</f>
        <v/>
      </c>
      <c r="O35" s="389" t="str">
        <f>IF(IF($AT35&lt;&gt;"",VLOOKUP(CONCATENATE($AT35,$AU35,$AV35,$F35),'SKU Dist'!$E$2:$X$200,'SKU Dist'!I$1,FALSE),"")=0,"",IF($AT35&lt;&gt;"",VLOOKUP(CONCATENATE($AT35,$AU35,$AV35,$F35),'SKU Dist'!$E$2:$X$200,'SKU Dist'!I$1,FALSE),""))</f>
        <v/>
      </c>
      <c r="P35" s="389" t="str">
        <f>IF(IF($AT35&lt;&gt;"",VLOOKUP(CONCATENATE($AT35,$AU35,$AV35,$F35),'SKU Dist'!$E$2:$X$200,'SKU Dist'!J$1,FALSE),"")=0,"",IF($AT35&lt;&gt;"",VLOOKUP(CONCATENATE($AT35,$AU35,$AV35,$F35),'SKU Dist'!$E$2:$X$200,'SKU Dist'!J$1,FALSE),""))</f>
        <v/>
      </c>
      <c r="Q35" s="389" t="str">
        <f>IF(IF($AT35&lt;&gt;"",VLOOKUP(CONCATENATE($AT35,$AU35,$AV35,$F35),'SKU Dist'!$E$2:$X$200,'SKU Dist'!K$1,FALSE),"")=0,"",IF($AT35&lt;&gt;"",VLOOKUP(CONCATENATE($AT35,$AU35,$AV35,$F35),'SKU Dist'!$E$2:$X$200,'SKU Dist'!K$1,FALSE),""))</f>
        <v/>
      </c>
      <c r="R35" s="389" t="str">
        <f>IF(IF($AT35&lt;&gt;"",VLOOKUP(CONCATENATE($AT35,$AU35,$AV35,$F35),'SKU Dist'!$E$2:$X$200,'SKU Dist'!L$1,FALSE),"")=0,"",IF($AT35&lt;&gt;"",VLOOKUP(CONCATENATE($AT35,$AU35,$AV35,$F35),'SKU Dist'!$E$2:$X$200,'SKU Dist'!L$1,FALSE),""))</f>
        <v/>
      </c>
      <c r="S35" s="389" t="str">
        <f>IF(IF($AT35&lt;&gt;"",VLOOKUP(CONCATENATE($AT35,$AU35,$AV35,$F35),'SKU Dist'!$E$2:$X$200,'SKU Dist'!M$1,FALSE),"")=0,"",IF($AT35&lt;&gt;"",VLOOKUP(CONCATENATE($AT35,$AU35,$AV35,$F35),'SKU Dist'!$E$2:$X$200,'SKU Dist'!M$1,FALSE),""))</f>
        <v/>
      </c>
      <c r="T35" s="389" t="str">
        <f>IF(IF($AT35&lt;&gt;"",VLOOKUP(CONCATENATE($AT35,$AU35,$AV35,$F35),'SKU Dist'!$E$2:$X$200,'SKU Dist'!N$1,FALSE),"")=0,"",IF($AT35&lt;&gt;"",VLOOKUP(CONCATENATE($AT35,$AU35,$AV35,$F35),'SKU Dist'!$E$2:$X$200,'SKU Dist'!N$1,FALSE),""))</f>
        <v/>
      </c>
      <c r="U35" s="389" t="str">
        <f>IF(IF($AT35&lt;&gt;"",VLOOKUP(CONCATENATE($AT35,$AU35,$AV35,$F35),'SKU Dist'!$E$2:$X$200,'SKU Dist'!O$1,FALSE),"")=0,"",IF($AT35&lt;&gt;"",VLOOKUP(CONCATENATE($AT35,$AU35,$AV35,$F35),'SKU Dist'!$E$2:$X$200,'SKU Dist'!O$1,FALSE),""))</f>
        <v/>
      </c>
      <c r="V35" s="389" t="str">
        <f>IF(IF($AT35&lt;&gt;"",VLOOKUP(CONCATENATE($AT35,$AU35,$AV35,$F35),'SKU Dist'!$E$2:$X$200,'SKU Dist'!P$1,FALSE),"")=0,"",IF($AT35&lt;&gt;"",VLOOKUP(CONCATENATE($AT35,$AU35,$AV35,$F35),'SKU Dist'!$E$2:$X$200,'SKU Dist'!P$1,FALSE),""))</f>
        <v/>
      </c>
      <c r="W35" s="389" t="str">
        <f>IF(IF($AT35&lt;&gt;"",VLOOKUP(CONCATENATE($AT35,$AU35,$AV35,$F35),'SKU Dist'!$E$2:$X$200,'SKU Dist'!Q$1,FALSE),"")=0,"",IF($AT35&lt;&gt;"",VLOOKUP(CONCATENATE($AT35,$AU35,$AV35,$F35),'SKU Dist'!$E$2:$X$200,'SKU Dist'!Q$1,FALSE),""))</f>
        <v/>
      </c>
      <c r="X35" s="389" t="str">
        <f>IF(IF($AT35&lt;&gt;"",VLOOKUP(CONCATENATE($AT35,$AU35,$AV35,$F35),'SKU Dist'!$E$2:$X$200,'SKU Dist'!R$1,FALSE),"")=0,"",IF($AT35&lt;&gt;"",VLOOKUP(CONCATENATE($AT35,$AU35,$AV35,$F35),'SKU Dist'!$E$2:$X$200,'SKU Dist'!R$1,FALSE),""))</f>
        <v/>
      </c>
      <c r="Y35" s="389" t="str">
        <f>IF(IF($AT35&lt;&gt;"",VLOOKUP(CONCATENATE($AT35,$AU35,$AV35,$F35),'SKU Dist'!$E$2:$X$200,'SKU Dist'!S$1,FALSE),"")=0,"",IF($AT35&lt;&gt;"",VLOOKUP(CONCATENATE($AT35,$AU35,$AV35,$F35),'SKU Dist'!$E$2:$X$200,'SKU Dist'!S$1,FALSE),""))</f>
        <v/>
      </c>
      <c r="Z35" s="389" t="str">
        <f>IF(IF($AT35&lt;&gt;"",VLOOKUP(CONCATENATE($AT35,$AU35,$AV35,$F35),'SKU Dist'!$E$2:$X$200,'SKU Dist'!T$1,FALSE),"")=0,"",IF($AT35&lt;&gt;"",VLOOKUP(CONCATENATE($AT35,$AU35,$AV35,$F35),'SKU Dist'!$E$2:$X$200,'SKU Dist'!T$1,FALSE),""))</f>
        <v/>
      </c>
      <c r="AA35" s="389" t="str">
        <f>IF(IF($AT35&lt;&gt;"",VLOOKUP(CONCATENATE($AT35,$AU35,$AV35,$F35),'SKU Dist'!$E$2:$X$200,'SKU Dist'!U$1,FALSE),"")=0,"",IF($AT35&lt;&gt;"",VLOOKUP(CONCATENATE($AT35,$AU35,$AV35,$F35),'SKU Dist'!$E$2:$X$200,'SKU Dist'!U$1,FALSE),""))</f>
        <v/>
      </c>
      <c r="AB35" s="389" t="str">
        <f>IF(IF($AT35&lt;&gt;"",VLOOKUP(CONCATENATE($AT35,$AU35,$AV35,$F35),'SKU Dist'!$E$2:$X$200,'SKU Dist'!V$1,FALSE),"")=0,"",IF($AT35&lt;&gt;"",VLOOKUP(CONCATENATE($AT35,$AU35,$AV35,$F35),'SKU Dist'!$E$2:$X$200,'SKU Dist'!V$1,FALSE),""))</f>
        <v/>
      </c>
      <c r="AC35" s="389" t="str">
        <f>IF(IF($AT35&lt;&gt;"",VLOOKUP(CONCATENATE($AT35,$AU35,$AV35,$F35),'SKU Dist'!$E$2:$X$200,'SKU Dist'!W$1,FALSE),"")=0,"",IF($AT35&lt;&gt;"",VLOOKUP(CONCATENATE($AT35,$AU35,$AV35,$F35),'SKU Dist'!$E$2:$X$200,'SKU Dist'!W$1,FALSE),""))</f>
        <v/>
      </c>
      <c r="AD35" s="390"/>
      <c r="AE35" s="390"/>
      <c r="AF35" s="390"/>
      <c r="AG35" s="919">
        <f t="shared" si="25"/>
        <v>0</v>
      </c>
      <c r="AH35" s="817">
        <v>135</v>
      </c>
      <c r="AI35" s="943">
        <f t="shared" si="24"/>
        <v>0</v>
      </c>
      <c r="AJ35" s="926"/>
      <c r="AK35" s="5"/>
      <c r="AT35" s="222" t="str">
        <f t="shared" si="1"/>
        <v/>
      </c>
      <c r="AU35" s="206" t="s">
        <v>9</v>
      </c>
      <c r="AV35" s="206" t="s">
        <v>10</v>
      </c>
    </row>
    <row r="36" spans="1:48" s="39" customFormat="1" ht="15.75" customHeight="1" x14ac:dyDescent="0.25">
      <c r="A36" s="655">
        <f>SUM(AI33:AI44)</f>
        <v>5415</v>
      </c>
      <c r="B36" s="1031"/>
      <c r="C36" s="857" t="s">
        <v>254</v>
      </c>
      <c r="D36" s="868" t="s">
        <v>291</v>
      </c>
      <c r="E36" s="888">
        <v>1720</v>
      </c>
      <c r="F36" s="887" t="s">
        <v>69</v>
      </c>
      <c r="G36" s="641"/>
      <c r="H36" s="392"/>
      <c r="I36" s="392"/>
      <c r="J36" s="392"/>
      <c r="K36" s="392"/>
      <c r="L36" s="392"/>
      <c r="M36" s="392"/>
      <c r="N36" s="392"/>
      <c r="O36" s="392"/>
      <c r="P36" s="392"/>
      <c r="Q36" s="392"/>
      <c r="R36" s="389" t="str">
        <f>IF(IF($AT36&lt;&gt;"",VLOOKUP(CONCATENATE($AT36,$AU36,$AV36,$F36),'SKU Dist'!$E$2:$X$200,'SKU Dist'!L$1,FALSE),"")=0,"",IF($AT36&lt;&gt;"",VLOOKUP(CONCATENATE($AT36,$AU36,$AV36,$F36),'SKU Dist'!$E$2:$X$200,'SKU Dist'!L$1,FALSE),""))</f>
        <v/>
      </c>
      <c r="S36" s="389" t="str">
        <f>IF(IF($AT36&lt;&gt;"",VLOOKUP(CONCATENATE($AT36,$AU36,$AV36,$F36),'SKU Dist'!$E$2:$X$200,'SKU Dist'!M$1,FALSE),"")=0,"",IF($AT36&lt;&gt;"",VLOOKUP(CONCATENATE($AT36,$AU36,$AV36,$F36),'SKU Dist'!$E$2:$X$200,'SKU Dist'!M$1,FALSE),""))</f>
        <v/>
      </c>
      <c r="T36" s="389" t="str">
        <f>IF(IF($AT36&lt;&gt;"",VLOOKUP(CONCATENATE($AT36,$AU36,$AV36,$F36),'SKU Dist'!$E$2:$X$200,'SKU Dist'!N$1,FALSE),"")=0,"",IF($AT36&lt;&gt;"",VLOOKUP(CONCATENATE($AT36,$AU36,$AV36,$F36),'SKU Dist'!$E$2:$X$200,'SKU Dist'!N$1,FALSE),""))</f>
        <v/>
      </c>
      <c r="U36" s="389" t="str">
        <f>IF(IF($AT36&lt;&gt;"",VLOOKUP(CONCATENATE($AT36,$AU36,$AV36,$F36),'SKU Dist'!$E$2:$X$200,'SKU Dist'!O$1,FALSE),"")=0,"",IF($AT36&lt;&gt;"",VLOOKUP(CONCATENATE($AT36,$AU36,$AV36,$F36),'SKU Dist'!$E$2:$X$200,'SKU Dist'!O$1,FALSE),""))</f>
        <v/>
      </c>
      <c r="V36" s="389" t="str">
        <f>IF(IF($AT36&lt;&gt;"",VLOOKUP(CONCATENATE($AT36,$AU36,$AV36,$F36),'SKU Dist'!$E$2:$X$200,'SKU Dist'!P$1,FALSE),"")=0,"",IF($AT36&lt;&gt;"",VLOOKUP(CONCATENATE($AT36,$AU36,$AV36,$F36),'SKU Dist'!$E$2:$X$200,'SKU Dist'!P$1,FALSE),""))</f>
        <v/>
      </c>
      <c r="W36" s="389" t="str">
        <f>IF(IF($AT36&lt;&gt;"",VLOOKUP(CONCATENATE($AT36,$AU36,$AV36,$F36),'SKU Dist'!$E$2:$X$200,'SKU Dist'!Q$1,FALSE),"")=0,"",IF($AT36&lt;&gt;"",VLOOKUP(CONCATENATE($AT36,$AU36,$AV36,$F36),'SKU Dist'!$E$2:$X$200,'SKU Dist'!Q$1,FALSE),""))</f>
        <v/>
      </c>
      <c r="X36" s="389" t="str">
        <f>IF(IF($AT36&lt;&gt;"",VLOOKUP(CONCATENATE($AT36,$AU36,$AV36,$F36),'SKU Dist'!$E$2:$X$200,'SKU Dist'!R$1,FALSE),"")=0,"",IF($AT36&lt;&gt;"",VLOOKUP(CONCATENATE($AT36,$AU36,$AV36,$F36),'SKU Dist'!$E$2:$X$200,'SKU Dist'!R$1,FALSE),""))</f>
        <v/>
      </c>
      <c r="Y36" s="389" t="str">
        <f>IF(IF($AT36&lt;&gt;"",VLOOKUP(CONCATENATE($AT36,$AU36,$AV36,$F36),'SKU Dist'!$E$2:$X$200,'SKU Dist'!S$1,FALSE),"")=0,"",IF($AT36&lt;&gt;"",VLOOKUP(CONCATENATE($AT36,$AU36,$AV36,$F36),'SKU Dist'!$E$2:$X$200,'SKU Dist'!S$1,FALSE),""))</f>
        <v/>
      </c>
      <c r="Z36" s="389" t="str">
        <f>IF(IF($AT36&lt;&gt;"",VLOOKUP(CONCATENATE($AT36,$AU36,$AV36,$F36),'SKU Dist'!$E$2:$X$200,'SKU Dist'!T$1,FALSE),"")=0,"",IF($AT36&lt;&gt;"",VLOOKUP(CONCATENATE($AT36,$AU36,$AV36,$F36),'SKU Dist'!$E$2:$X$200,'SKU Dist'!T$1,FALSE),""))</f>
        <v/>
      </c>
      <c r="AA36" s="389" t="str">
        <f>IF(IF($AT36&lt;&gt;"",VLOOKUP(CONCATENATE($AT36,$AU36,$AV36,$F36),'SKU Dist'!$E$2:$X$200,'SKU Dist'!U$1,FALSE),"")=0,"",IF($AT36&lt;&gt;"",VLOOKUP(CONCATENATE($AT36,$AU36,$AV36,$F36),'SKU Dist'!$E$2:$X$200,'SKU Dist'!U$1,FALSE),""))</f>
        <v/>
      </c>
      <c r="AB36" s="389" t="str">
        <f>IF(IF($AT36&lt;&gt;"",VLOOKUP(CONCATENATE($AT36,$AU36,$AV36,$F36),'SKU Dist'!$E$2:$X$200,'SKU Dist'!V$1,FALSE),"")=0,"",IF($AT36&lt;&gt;"",VLOOKUP(CONCATENATE($AT36,$AU36,$AV36,$F36),'SKU Dist'!$E$2:$X$200,'SKU Dist'!V$1,FALSE),""))</f>
        <v/>
      </c>
      <c r="AC36" s="390"/>
      <c r="AD36" s="390"/>
      <c r="AE36" s="390"/>
      <c r="AF36" s="390"/>
      <c r="AG36" s="919">
        <f t="shared" ref="AG36:AG39" si="26">SUM(G36:AF36)</f>
        <v>0</v>
      </c>
      <c r="AH36" s="817">
        <v>135</v>
      </c>
      <c r="AI36" s="943">
        <f t="shared" ref="AI36:AI39" si="27">AG36*AH36</f>
        <v>0</v>
      </c>
      <c r="AJ36" s="926"/>
      <c r="AK36" s="5"/>
      <c r="AT36" s="222"/>
      <c r="AU36" s="206" t="s">
        <v>9</v>
      </c>
      <c r="AV36" s="206" t="s">
        <v>10</v>
      </c>
    </row>
    <row r="37" spans="1:48" s="39" customFormat="1" ht="15.75" customHeight="1" x14ac:dyDescent="0.25">
      <c r="A37" s="840"/>
      <c r="B37" s="1029"/>
      <c r="C37" s="861" t="s">
        <v>254</v>
      </c>
      <c r="D37" s="873" t="s">
        <v>291</v>
      </c>
      <c r="E37" s="890">
        <v>2668</v>
      </c>
      <c r="F37" s="898" t="s">
        <v>26</v>
      </c>
      <c r="G37" s="641"/>
      <c r="H37" s="392"/>
      <c r="I37" s="392"/>
      <c r="J37" s="392"/>
      <c r="K37" s="392"/>
      <c r="L37" s="392"/>
      <c r="M37" s="392"/>
      <c r="N37" s="392"/>
      <c r="O37" s="392"/>
      <c r="P37" s="392"/>
      <c r="Q37" s="392"/>
      <c r="R37" s="392"/>
      <c r="S37" s="392"/>
      <c r="T37" s="392"/>
      <c r="U37" s="392"/>
      <c r="V37" s="635" t="str">
        <f>IF(IF($AT37&lt;&gt;"",VLOOKUP(CONCATENATE($AT37,$AU37,$AV37,$F37),'SKU Dist'!$E$2:$X$200,'SKU Dist'!P$1,FALSE),"")=0,"",IF($AT37&lt;&gt;"",VLOOKUP(CONCATENATE($AT37,$AU37,$AV37,$F37),'SKU Dist'!$E$2:$X$200,'SKU Dist'!P$1,FALSE),""))</f>
        <v/>
      </c>
      <c r="W37" s="635" t="str">
        <f>IF(IF($AT37&lt;&gt;"",VLOOKUP(CONCATENATE($AT37,$AU37,$AV37,$F37),'SKU Dist'!$E$2:$X$200,'SKU Dist'!Q$1,FALSE),"")=0,"",IF($AT37&lt;&gt;"",VLOOKUP(CONCATENATE($AT37,$AU37,$AV37,$F37),'SKU Dist'!$E$2:$X$200,'SKU Dist'!Q$1,FALSE),""))</f>
        <v/>
      </c>
      <c r="X37" s="635" t="str">
        <f>IF(IF($AT37&lt;&gt;"",VLOOKUP(CONCATENATE($AT37,$AU37,$AV37,$F37),'SKU Dist'!$E$2:$X$200,'SKU Dist'!R$1,FALSE),"")=0,"",IF($AT37&lt;&gt;"",VLOOKUP(CONCATENATE($AT37,$AU37,$AV37,$F37),'SKU Dist'!$E$2:$X$200,'SKU Dist'!R$1,FALSE),""))</f>
        <v/>
      </c>
      <c r="Y37" s="635" t="str">
        <f>IF(IF($AT37&lt;&gt;"",VLOOKUP(CONCATENATE($AT37,$AU37,$AV37,$F37),'SKU Dist'!$E$2:$X$200,'SKU Dist'!S$1,FALSE),"")=0,"",IF($AT37&lt;&gt;"",VLOOKUP(CONCATENATE($AT37,$AU37,$AV37,$F37),'SKU Dist'!$E$2:$X$200,'SKU Dist'!S$1,FALSE),""))</f>
        <v/>
      </c>
      <c r="Z37" s="635" t="str">
        <f>IF(IF($AT37&lt;&gt;"",VLOOKUP(CONCATENATE($AT37,$AU37,$AV37,$F37),'SKU Dist'!$E$2:$X$200,'SKU Dist'!T$1,FALSE),"")=0,"",IF($AT37&lt;&gt;"",VLOOKUP(CONCATENATE($AT37,$AU37,$AV37,$F37),'SKU Dist'!$E$2:$X$200,'SKU Dist'!T$1,FALSE),""))</f>
        <v/>
      </c>
      <c r="AA37" s="635" t="str">
        <f>IF(IF($AT37&lt;&gt;"",VLOOKUP(CONCATENATE($AT37,$AU37,$AV37,$F37),'SKU Dist'!$E$2:$X$200,'SKU Dist'!U$1,FALSE),"")=0,"",IF($AT37&lt;&gt;"",VLOOKUP(CONCATENATE($AT37,$AU37,$AV37,$F37),'SKU Dist'!$E$2:$X$200,'SKU Dist'!U$1,FALSE),""))</f>
        <v/>
      </c>
      <c r="AB37" s="635" t="str">
        <f>IF(IF($AT37&lt;&gt;"",VLOOKUP(CONCATENATE($AT37,$AU37,$AV37,$F37),'SKU Dist'!$E$2:$X$200,'SKU Dist'!V$1,FALSE),"")=0,"",IF($AT37&lt;&gt;"",VLOOKUP(CONCATENATE($AT37,$AU37,$AV37,$F37),'SKU Dist'!$E$2:$X$200,'SKU Dist'!V$1,FALSE),""))</f>
        <v/>
      </c>
      <c r="AC37" s="392"/>
      <c r="AD37" s="392"/>
      <c r="AE37" s="392"/>
      <c r="AF37" s="392"/>
      <c r="AG37" s="803">
        <f t="shared" si="26"/>
        <v>0</v>
      </c>
      <c r="AH37" s="923">
        <v>145</v>
      </c>
      <c r="AI37" s="948">
        <f t="shared" si="27"/>
        <v>0</v>
      </c>
      <c r="AJ37" s="935"/>
      <c r="AK37" s="5"/>
      <c r="AT37" s="222" t="str">
        <f>IF(E37=E34,AT34,IF(B37="","",B37))</f>
        <v/>
      </c>
      <c r="AU37" s="206" t="s">
        <v>9</v>
      </c>
      <c r="AV37" s="206" t="s">
        <v>10</v>
      </c>
    </row>
    <row r="38" spans="1:48" s="39" customFormat="1" ht="15.75" x14ac:dyDescent="0.2">
      <c r="A38" s="839"/>
      <c r="B38" s="1029"/>
      <c r="C38" s="861" t="s">
        <v>254</v>
      </c>
      <c r="D38" s="873" t="s">
        <v>291</v>
      </c>
      <c r="E38" s="890">
        <v>2668</v>
      </c>
      <c r="F38" s="898" t="s">
        <v>35</v>
      </c>
      <c r="G38" s="641"/>
      <c r="H38" s="392"/>
      <c r="I38" s="392"/>
      <c r="J38" s="392"/>
      <c r="K38" s="392"/>
      <c r="L38" s="392"/>
      <c r="M38" s="392"/>
      <c r="N38" s="635" t="str">
        <f>IF(IF($AT38&lt;&gt;"",VLOOKUP(CONCATENATE($AT38,$AU38,$AV38,$F38),'SKU Dist'!$E$2:$X$200,'SKU Dist'!H$1,FALSE),"")=0,"",IF($AT38&lt;&gt;"",VLOOKUP(CONCATENATE($AT38,$AU38,$AV38,$F38),'SKU Dist'!$E$2:$X$200,'SKU Dist'!H$1,FALSE),""))</f>
        <v/>
      </c>
      <c r="O38" s="635" t="str">
        <f>IF(IF($AT38&lt;&gt;"",VLOOKUP(CONCATENATE($AT38,$AU38,$AV38,$F38),'SKU Dist'!$E$2:$X$200,'SKU Dist'!I$1,FALSE),"")=0,"",IF($AT38&lt;&gt;"",VLOOKUP(CONCATENATE($AT38,$AU38,$AV38,$F38),'SKU Dist'!$E$2:$X$200,'SKU Dist'!I$1,FALSE),""))</f>
        <v/>
      </c>
      <c r="P38" s="635" t="str">
        <f>IF(IF($AT38&lt;&gt;"",VLOOKUP(CONCATENATE($AT38,$AU38,$AV38,$F38),'SKU Dist'!$E$2:$X$200,'SKU Dist'!J$1,FALSE),"")=0,"",IF($AT38&lt;&gt;"",VLOOKUP(CONCATENATE($AT38,$AU38,$AV38,$F38),'SKU Dist'!$E$2:$X$200,'SKU Dist'!J$1,FALSE),""))</f>
        <v/>
      </c>
      <c r="Q38" s="635" t="str">
        <f>IF(IF($AT38&lt;&gt;"",VLOOKUP(CONCATENATE($AT38,$AU38,$AV38,$F38),'SKU Dist'!$E$2:$X$200,'SKU Dist'!K$1,FALSE),"")=0,"",IF($AT38&lt;&gt;"",VLOOKUP(CONCATENATE($AT38,$AU38,$AV38,$F38),'SKU Dist'!$E$2:$X$200,'SKU Dist'!K$1,FALSE),""))</f>
        <v/>
      </c>
      <c r="R38" s="635" t="str">
        <f>IF(IF($AT38&lt;&gt;"",VLOOKUP(CONCATENATE($AT38,$AU38,$AV38,$F38),'SKU Dist'!$E$2:$X$200,'SKU Dist'!L$1,FALSE),"")=0,"",IF($AT38&lt;&gt;"",VLOOKUP(CONCATENATE($AT38,$AU38,$AV38,$F38),'SKU Dist'!$E$2:$X$200,'SKU Dist'!L$1,FALSE),""))</f>
        <v/>
      </c>
      <c r="S38" s="635">
        <v>1</v>
      </c>
      <c r="T38" s="635">
        <v>1</v>
      </c>
      <c r="U38" s="635">
        <v>2</v>
      </c>
      <c r="V38" s="635">
        <v>2</v>
      </c>
      <c r="W38" s="635">
        <v>2</v>
      </c>
      <c r="X38" s="635">
        <v>2</v>
      </c>
      <c r="Y38" s="635">
        <v>1</v>
      </c>
      <c r="Z38" s="635">
        <v>2</v>
      </c>
      <c r="AA38" s="635" t="str">
        <f>IF(IF($AT38&lt;&gt;"",VLOOKUP(CONCATENATE($AT38,$AU38,$AV38,$F38),'SKU Dist'!$E$2:$X$200,'SKU Dist'!U$1,FALSE),"")=0,"",IF($AT38&lt;&gt;"",VLOOKUP(CONCATENATE($AT38,$AU38,$AV38,$F38),'SKU Dist'!$E$2:$X$200,'SKU Dist'!U$1,FALSE),""))</f>
        <v/>
      </c>
      <c r="AB38" s="635" t="str">
        <f>IF(IF($AT38&lt;&gt;"",VLOOKUP(CONCATENATE($AT38,$AU38,$AV38,$F38),'SKU Dist'!$E$2:$X$200,'SKU Dist'!V$1,FALSE),"")=0,"",IF($AT38&lt;&gt;"",VLOOKUP(CONCATENATE($AT38,$AU38,$AV38,$F38),'SKU Dist'!$E$2:$X$200,'SKU Dist'!V$1,FALSE),""))</f>
        <v/>
      </c>
      <c r="AC38" s="635" t="str">
        <f>IF(IF($AT38&lt;&gt;"",VLOOKUP(CONCATENATE($AT38,$AU38,$AV38,$F38),'SKU Dist'!$E$2:$X$200,'SKU Dist'!W$1,FALSE),"")=0,"",IF($AT38&lt;&gt;"",VLOOKUP(CONCATENATE($AT38,$AU38,$AV38,$F38),'SKU Dist'!$E$2:$X$200,'SKU Dist'!W$1,FALSE),""))</f>
        <v/>
      </c>
      <c r="AD38" s="390"/>
      <c r="AE38" s="390"/>
      <c r="AF38" s="390"/>
      <c r="AG38" s="803">
        <f t="shared" si="26"/>
        <v>13</v>
      </c>
      <c r="AH38" s="814">
        <v>145</v>
      </c>
      <c r="AI38" s="948">
        <f t="shared" si="27"/>
        <v>1885</v>
      </c>
      <c r="AJ38" s="931"/>
      <c r="AK38" s="5"/>
      <c r="AT38" s="222" t="str">
        <f t="shared" ref="AT38:AT39" si="28">IF(E38=E37,AT37,IF(B38="","",B38))</f>
        <v/>
      </c>
      <c r="AU38" s="206" t="s">
        <v>9</v>
      </c>
      <c r="AV38" s="206" t="s">
        <v>10</v>
      </c>
    </row>
    <row r="39" spans="1:48" s="39" customFormat="1" ht="15.75" x14ac:dyDescent="0.2">
      <c r="A39" s="630"/>
      <c r="B39" s="1029"/>
      <c r="C39" s="861" t="s">
        <v>254</v>
      </c>
      <c r="D39" s="873" t="s">
        <v>291</v>
      </c>
      <c r="E39" s="890">
        <v>2668</v>
      </c>
      <c r="F39" s="898" t="s">
        <v>68</v>
      </c>
      <c r="G39" s="641"/>
      <c r="H39" s="392"/>
      <c r="I39" s="392"/>
      <c r="J39" s="392"/>
      <c r="K39" s="392"/>
      <c r="L39" s="392"/>
      <c r="M39" s="392"/>
      <c r="N39" s="635" t="str">
        <f>IF(IF($AT39&lt;&gt;"",VLOOKUP(CONCATENATE($AT39,$AU39,$AV39,$F39),'SKU Dist'!$E$2:$X$200,'SKU Dist'!H$1,FALSE),"")=0,"",IF($AT39&lt;&gt;"",VLOOKUP(CONCATENATE($AT39,$AU39,$AV39,$F39),'SKU Dist'!$E$2:$X$200,'SKU Dist'!H$1,FALSE),""))</f>
        <v/>
      </c>
      <c r="O39" s="635" t="str">
        <f>IF(IF($AT39&lt;&gt;"",VLOOKUP(CONCATENATE($AT39,$AU39,$AV39,$F39),'SKU Dist'!$E$2:$X$200,'SKU Dist'!I$1,FALSE),"")=0,"",IF($AT39&lt;&gt;"",VLOOKUP(CONCATENATE($AT39,$AU39,$AV39,$F39),'SKU Dist'!$E$2:$X$200,'SKU Dist'!I$1,FALSE),""))</f>
        <v/>
      </c>
      <c r="P39" s="635" t="str">
        <f>IF(IF($AT39&lt;&gt;"",VLOOKUP(CONCATENATE($AT39,$AU39,$AV39,$F39),'SKU Dist'!$E$2:$X$200,'SKU Dist'!J$1,FALSE),"")=0,"",IF($AT39&lt;&gt;"",VLOOKUP(CONCATENATE($AT39,$AU39,$AV39,$F39),'SKU Dist'!$E$2:$X$200,'SKU Dist'!J$1,FALSE),""))</f>
        <v/>
      </c>
      <c r="Q39" s="635" t="str">
        <f>IF(IF($AT39&lt;&gt;"",VLOOKUP(CONCATENATE($AT39,$AU39,$AV39,$F39),'SKU Dist'!$E$2:$X$200,'SKU Dist'!K$1,FALSE),"")=0,"",IF($AT39&lt;&gt;"",VLOOKUP(CONCATENATE($AT39,$AU39,$AV39,$F39),'SKU Dist'!$E$2:$X$200,'SKU Dist'!K$1,FALSE),""))</f>
        <v/>
      </c>
      <c r="R39" s="635" t="str">
        <f>IF(IF($AT39&lt;&gt;"",VLOOKUP(CONCATENATE($AT39,$AU39,$AV39,$F39),'SKU Dist'!$E$2:$X$200,'SKU Dist'!L$1,FALSE),"")=0,"",IF($AT39&lt;&gt;"",VLOOKUP(CONCATENATE($AT39,$AU39,$AV39,$F39),'SKU Dist'!$E$2:$X$200,'SKU Dist'!L$1,FALSE),""))</f>
        <v/>
      </c>
      <c r="S39" s="635"/>
      <c r="T39" s="635">
        <v>1</v>
      </c>
      <c r="U39" s="635">
        <v>1</v>
      </c>
      <c r="V39" s="635">
        <v>1</v>
      </c>
      <c r="W39" s="635">
        <v>1</v>
      </c>
      <c r="X39" s="635">
        <v>1</v>
      </c>
      <c r="Y39" s="635"/>
      <c r="Z39" s="635">
        <v>1</v>
      </c>
      <c r="AA39" s="635" t="str">
        <f>IF(IF($AT39&lt;&gt;"",VLOOKUP(CONCATENATE($AT39,$AU39,$AV39,$F39),'SKU Dist'!$E$2:$X$200,'SKU Dist'!U$1,FALSE),"")=0,"",IF($AT39&lt;&gt;"",VLOOKUP(CONCATENATE($AT39,$AU39,$AV39,$F39),'SKU Dist'!$E$2:$X$200,'SKU Dist'!U$1,FALSE),""))</f>
        <v/>
      </c>
      <c r="AB39" s="635" t="str">
        <f>IF(IF($AT39&lt;&gt;"",VLOOKUP(CONCATENATE($AT39,$AU39,$AV39,$F39),'SKU Dist'!$E$2:$X$200,'SKU Dist'!V$1,FALSE),"")=0,"",IF($AT39&lt;&gt;"",VLOOKUP(CONCATENATE($AT39,$AU39,$AV39,$F39),'SKU Dist'!$E$2:$X$200,'SKU Dist'!V$1,FALSE),""))</f>
        <v/>
      </c>
      <c r="AC39" s="635" t="str">
        <f>IF(IF($AT39&lt;&gt;"",VLOOKUP(CONCATENATE($AT39,$AU39,$AV39,$F39),'SKU Dist'!$E$2:$X$200,'SKU Dist'!W$1,FALSE),"")=0,"",IF($AT39&lt;&gt;"",VLOOKUP(CONCATENATE($AT39,$AU39,$AV39,$F39),'SKU Dist'!$E$2:$X$200,'SKU Dist'!W$1,FALSE),""))</f>
        <v/>
      </c>
      <c r="AD39" s="390"/>
      <c r="AE39" s="390"/>
      <c r="AF39" s="390"/>
      <c r="AG39" s="803">
        <f t="shared" si="26"/>
        <v>6</v>
      </c>
      <c r="AH39" s="814">
        <v>145</v>
      </c>
      <c r="AI39" s="948">
        <f t="shared" si="27"/>
        <v>870</v>
      </c>
      <c r="AJ39" s="931"/>
      <c r="AK39" s="5"/>
      <c r="AT39" s="222" t="str">
        <f t="shared" si="28"/>
        <v/>
      </c>
      <c r="AU39" s="206" t="s">
        <v>9</v>
      </c>
      <c r="AV39" s="206" t="s">
        <v>10</v>
      </c>
    </row>
    <row r="40" spans="1:48" s="39" customFormat="1" ht="15.75" customHeight="1" x14ac:dyDescent="0.25">
      <c r="A40" s="655"/>
      <c r="B40" s="1029"/>
      <c r="C40" s="861" t="s">
        <v>254</v>
      </c>
      <c r="D40" s="873" t="s">
        <v>291</v>
      </c>
      <c r="E40" s="890">
        <v>2668</v>
      </c>
      <c r="F40" s="898" t="s">
        <v>69</v>
      </c>
      <c r="G40" s="641"/>
      <c r="H40" s="392"/>
      <c r="I40" s="392"/>
      <c r="J40" s="392"/>
      <c r="K40" s="392"/>
      <c r="L40" s="392"/>
      <c r="M40" s="392"/>
      <c r="N40" s="392"/>
      <c r="O40" s="392"/>
      <c r="P40" s="392"/>
      <c r="Q40" s="392"/>
      <c r="R40" s="635" t="str">
        <f>IF(IF($AT40&lt;&gt;"",VLOOKUP(CONCATENATE($AT40,$AU40,$AV40,$F40),'SKU Dist'!$E$2:$X$200,'SKU Dist'!L$1,FALSE),"")=0,"",IF($AT40&lt;&gt;"",VLOOKUP(CONCATENATE($AT40,$AU40,$AV40,$F40),'SKU Dist'!$E$2:$X$200,'SKU Dist'!L$1,FALSE),""))</f>
        <v/>
      </c>
      <c r="S40" s="635" t="str">
        <f>IF(IF($AT40&lt;&gt;"",VLOOKUP(CONCATENATE($AT40,$AU40,$AV40,$F40),'SKU Dist'!$E$2:$X$200,'SKU Dist'!M$1,FALSE),"")=0,"",IF($AT40&lt;&gt;"",VLOOKUP(CONCATENATE($AT40,$AU40,$AV40,$F40),'SKU Dist'!$E$2:$X$200,'SKU Dist'!M$1,FALSE),""))</f>
        <v/>
      </c>
      <c r="T40" s="635" t="str">
        <f>IF(IF($AT40&lt;&gt;"",VLOOKUP(CONCATENATE($AT40,$AU40,$AV40,$F40),'SKU Dist'!$E$2:$X$200,'SKU Dist'!N$1,FALSE),"")=0,"",IF($AT40&lt;&gt;"",VLOOKUP(CONCATENATE($AT40,$AU40,$AV40,$F40),'SKU Dist'!$E$2:$X$200,'SKU Dist'!N$1,FALSE),""))</f>
        <v/>
      </c>
      <c r="U40" s="635" t="str">
        <f>IF(IF($AT40&lt;&gt;"",VLOOKUP(CONCATENATE($AT40,$AU40,$AV40,$F40),'SKU Dist'!$E$2:$X$200,'SKU Dist'!O$1,FALSE),"")=0,"",IF($AT40&lt;&gt;"",VLOOKUP(CONCATENATE($AT40,$AU40,$AV40,$F40),'SKU Dist'!$E$2:$X$200,'SKU Dist'!O$1,FALSE),""))</f>
        <v/>
      </c>
      <c r="V40" s="635" t="str">
        <f>IF(IF($AT40&lt;&gt;"",VLOOKUP(CONCATENATE($AT40,$AU40,$AV40,$F40),'SKU Dist'!$E$2:$X$200,'SKU Dist'!P$1,FALSE),"")=0,"",IF($AT40&lt;&gt;"",VLOOKUP(CONCATENATE($AT40,$AU40,$AV40,$F40),'SKU Dist'!$E$2:$X$200,'SKU Dist'!P$1,FALSE),""))</f>
        <v/>
      </c>
      <c r="W40" s="635" t="str">
        <f>IF(IF($AT40&lt;&gt;"",VLOOKUP(CONCATENATE($AT40,$AU40,$AV40,$F40),'SKU Dist'!$E$2:$X$200,'SKU Dist'!Q$1,FALSE),"")=0,"",IF($AT40&lt;&gt;"",VLOOKUP(CONCATENATE($AT40,$AU40,$AV40,$F40),'SKU Dist'!$E$2:$X$200,'SKU Dist'!Q$1,FALSE),""))</f>
        <v/>
      </c>
      <c r="X40" s="635" t="str">
        <f>IF(IF($AT40&lt;&gt;"",VLOOKUP(CONCATENATE($AT40,$AU40,$AV40,$F40),'SKU Dist'!$E$2:$X$200,'SKU Dist'!R$1,FALSE),"")=0,"",IF($AT40&lt;&gt;"",VLOOKUP(CONCATENATE($AT40,$AU40,$AV40,$F40),'SKU Dist'!$E$2:$X$200,'SKU Dist'!R$1,FALSE),""))</f>
        <v/>
      </c>
      <c r="Y40" s="635" t="str">
        <f>IF(IF($AT40&lt;&gt;"",VLOOKUP(CONCATENATE($AT40,$AU40,$AV40,$F40),'SKU Dist'!$E$2:$X$200,'SKU Dist'!S$1,FALSE),"")=0,"",IF($AT40&lt;&gt;"",VLOOKUP(CONCATENATE($AT40,$AU40,$AV40,$F40),'SKU Dist'!$E$2:$X$200,'SKU Dist'!S$1,FALSE),""))</f>
        <v/>
      </c>
      <c r="Z40" s="635" t="str">
        <f>IF(IF($AT40&lt;&gt;"",VLOOKUP(CONCATENATE($AT40,$AU40,$AV40,$F40),'SKU Dist'!$E$2:$X$200,'SKU Dist'!T$1,FALSE),"")=0,"",IF($AT40&lt;&gt;"",VLOOKUP(CONCATENATE($AT40,$AU40,$AV40,$F40),'SKU Dist'!$E$2:$X$200,'SKU Dist'!T$1,FALSE),""))</f>
        <v/>
      </c>
      <c r="AA40" s="635" t="str">
        <f>IF(IF($AT40&lt;&gt;"",VLOOKUP(CONCATENATE($AT40,$AU40,$AV40,$F40),'SKU Dist'!$E$2:$X$200,'SKU Dist'!U$1,FALSE),"")=0,"",IF($AT40&lt;&gt;"",VLOOKUP(CONCATENATE($AT40,$AU40,$AV40,$F40),'SKU Dist'!$E$2:$X$200,'SKU Dist'!U$1,FALSE),""))</f>
        <v/>
      </c>
      <c r="AB40" s="635" t="str">
        <f>IF(IF($AT40&lt;&gt;"",VLOOKUP(CONCATENATE($AT40,$AU40,$AV40,$F40),'SKU Dist'!$E$2:$X$200,'SKU Dist'!V$1,FALSE),"")=0,"",IF($AT40&lt;&gt;"",VLOOKUP(CONCATENATE($AT40,$AU40,$AV40,$F40),'SKU Dist'!$E$2:$X$200,'SKU Dist'!V$1,FALSE),""))</f>
        <v/>
      </c>
      <c r="AC40" s="390"/>
      <c r="AD40" s="390"/>
      <c r="AE40" s="390"/>
      <c r="AF40" s="390"/>
      <c r="AG40" s="803">
        <f t="shared" ref="AG40:AG43" si="29">SUM(G40:AF40)</f>
        <v>0</v>
      </c>
      <c r="AH40" s="814">
        <v>145</v>
      </c>
      <c r="AI40" s="948">
        <f t="shared" ref="AI40:AI43" si="30">AG40*AH40</f>
        <v>0</v>
      </c>
      <c r="AJ40" s="931"/>
      <c r="AK40" s="5"/>
      <c r="AT40" s="222"/>
      <c r="AU40" s="206" t="s">
        <v>9</v>
      </c>
      <c r="AV40" s="206" t="s">
        <v>10</v>
      </c>
    </row>
    <row r="41" spans="1:48" s="39" customFormat="1" ht="15.75" customHeight="1" x14ac:dyDescent="0.25">
      <c r="A41" s="840"/>
      <c r="B41" s="1031"/>
      <c r="C41" s="857" t="s">
        <v>254</v>
      </c>
      <c r="D41" s="868" t="s">
        <v>291</v>
      </c>
      <c r="E41" s="888">
        <v>2669</v>
      </c>
      <c r="F41" s="887" t="s">
        <v>26</v>
      </c>
      <c r="G41" s="641"/>
      <c r="H41" s="392"/>
      <c r="I41" s="392"/>
      <c r="J41" s="392"/>
      <c r="K41" s="392"/>
      <c r="L41" s="392"/>
      <c r="M41" s="392"/>
      <c r="N41" s="392"/>
      <c r="O41" s="392"/>
      <c r="P41" s="392"/>
      <c r="Q41" s="392"/>
      <c r="R41" s="392"/>
      <c r="S41" s="392"/>
      <c r="T41" s="392"/>
      <c r="U41" s="392"/>
      <c r="V41" s="389" t="str">
        <f>IF(IF($AT41&lt;&gt;"",VLOOKUP(CONCATENATE($AT41,$AU41,$AV41,$F41),'SKU Dist'!$E$2:$X$200,'SKU Dist'!P$1,FALSE),"")=0,"",IF($AT41&lt;&gt;"",VLOOKUP(CONCATENATE($AT41,$AU41,$AV41,$F41),'SKU Dist'!$E$2:$X$200,'SKU Dist'!P$1,FALSE),""))</f>
        <v/>
      </c>
      <c r="W41" s="389" t="str">
        <f>IF(IF($AT41&lt;&gt;"",VLOOKUP(CONCATENATE($AT41,$AU41,$AV41,$F41),'SKU Dist'!$E$2:$X$200,'SKU Dist'!Q$1,FALSE),"")=0,"",IF($AT41&lt;&gt;"",VLOOKUP(CONCATENATE($AT41,$AU41,$AV41,$F41),'SKU Dist'!$E$2:$X$200,'SKU Dist'!Q$1,FALSE),""))</f>
        <v/>
      </c>
      <c r="X41" s="389" t="str">
        <f>IF(IF($AT41&lt;&gt;"",VLOOKUP(CONCATENATE($AT41,$AU41,$AV41,$F41),'SKU Dist'!$E$2:$X$200,'SKU Dist'!R$1,FALSE),"")=0,"",IF($AT41&lt;&gt;"",VLOOKUP(CONCATENATE($AT41,$AU41,$AV41,$F41),'SKU Dist'!$E$2:$X$200,'SKU Dist'!R$1,FALSE),""))</f>
        <v/>
      </c>
      <c r="Y41" s="389" t="str">
        <f>IF(IF($AT41&lt;&gt;"",VLOOKUP(CONCATENATE($AT41,$AU41,$AV41,$F41),'SKU Dist'!$E$2:$X$200,'SKU Dist'!S$1,FALSE),"")=0,"",IF($AT41&lt;&gt;"",VLOOKUP(CONCATENATE($AT41,$AU41,$AV41,$F41),'SKU Dist'!$E$2:$X$200,'SKU Dist'!S$1,FALSE),""))</f>
        <v/>
      </c>
      <c r="Z41" s="389" t="str">
        <f>IF(IF($AT41&lt;&gt;"",VLOOKUP(CONCATENATE($AT41,$AU41,$AV41,$F41),'SKU Dist'!$E$2:$X$200,'SKU Dist'!T$1,FALSE),"")=0,"",IF($AT41&lt;&gt;"",VLOOKUP(CONCATENATE($AT41,$AU41,$AV41,$F41),'SKU Dist'!$E$2:$X$200,'SKU Dist'!T$1,FALSE),""))</f>
        <v/>
      </c>
      <c r="AA41" s="389" t="str">
        <f>IF(IF($AT41&lt;&gt;"",VLOOKUP(CONCATENATE($AT41,$AU41,$AV41,$F41),'SKU Dist'!$E$2:$X$200,'SKU Dist'!U$1,FALSE),"")=0,"",IF($AT41&lt;&gt;"",VLOOKUP(CONCATENATE($AT41,$AU41,$AV41,$F41),'SKU Dist'!$E$2:$X$200,'SKU Dist'!U$1,FALSE),""))</f>
        <v/>
      </c>
      <c r="AB41" s="389" t="str">
        <f>IF(IF($AT41&lt;&gt;"",VLOOKUP(CONCATENATE($AT41,$AU41,$AV41,$F41),'SKU Dist'!$E$2:$X$200,'SKU Dist'!V$1,FALSE),"")=0,"",IF($AT41&lt;&gt;"",VLOOKUP(CONCATENATE($AT41,$AU41,$AV41,$F41),'SKU Dist'!$E$2:$X$200,'SKU Dist'!V$1,FALSE),""))</f>
        <v/>
      </c>
      <c r="AC41" s="392"/>
      <c r="AD41" s="392"/>
      <c r="AE41" s="392"/>
      <c r="AF41" s="392"/>
      <c r="AG41" s="919">
        <f t="shared" si="29"/>
        <v>0</v>
      </c>
      <c r="AH41" s="924">
        <v>140</v>
      </c>
      <c r="AI41" s="943">
        <f t="shared" si="30"/>
        <v>0</v>
      </c>
      <c r="AJ41" s="932"/>
      <c r="AK41" s="5"/>
      <c r="AT41" s="222" t="str">
        <f>IF(E41=E38,AT38,IF(B41="","",B41))</f>
        <v/>
      </c>
      <c r="AU41" s="206" t="s">
        <v>9</v>
      </c>
      <c r="AV41" s="206" t="s">
        <v>10</v>
      </c>
    </row>
    <row r="42" spans="1:48" s="39" customFormat="1" ht="15.75" x14ac:dyDescent="0.2">
      <c r="A42" s="839"/>
      <c r="B42" s="1031"/>
      <c r="C42" s="857" t="s">
        <v>254</v>
      </c>
      <c r="D42" s="868" t="s">
        <v>291</v>
      </c>
      <c r="E42" s="888">
        <v>2669</v>
      </c>
      <c r="F42" s="887" t="s">
        <v>35</v>
      </c>
      <c r="G42" s="641"/>
      <c r="H42" s="392"/>
      <c r="I42" s="392"/>
      <c r="J42" s="392"/>
      <c r="K42" s="392"/>
      <c r="L42" s="392"/>
      <c r="M42" s="392"/>
      <c r="N42" s="389" t="str">
        <f>IF(IF($AT42&lt;&gt;"",VLOOKUP(CONCATENATE($AT42,$AU42,$AV42,$F42),'SKU Dist'!$E$2:$X$200,'SKU Dist'!H$1,FALSE),"")=0,"",IF($AT42&lt;&gt;"",VLOOKUP(CONCATENATE($AT42,$AU42,$AV42,$F42),'SKU Dist'!$E$2:$X$200,'SKU Dist'!H$1,FALSE),""))</f>
        <v/>
      </c>
      <c r="O42" s="389" t="str">
        <f>IF(IF($AT42&lt;&gt;"",VLOOKUP(CONCATENATE($AT42,$AU42,$AV42,$F42),'SKU Dist'!$E$2:$X$200,'SKU Dist'!I$1,FALSE),"")=0,"",IF($AT42&lt;&gt;"",VLOOKUP(CONCATENATE($AT42,$AU42,$AV42,$F42),'SKU Dist'!$E$2:$X$200,'SKU Dist'!I$1,FALSE),""))</f>
        <v/>
      </c>
      <c r="P42" s="389" t="str">
        <f>IF(IF($AT42&lt;&gt;"",VLOOKUP(CONCATENATE($AT42,$AU42,$AV42,$F42),'SKU Dist'!$E$2:$X$200,'SKU Dist'!J$1,FALSE),"")=0,"",IF($AT42&lt;&gt;"",VLOOKUP(CONCATENATE($AT42,$AU42,$AV42,$F42),'SKU Dist'!$E$2:$X$200,'SKU Dist'!J$1,FALSE),""))</f>
        <v/>
      </c>
      <c r="Q42" s="389" t="str">
        <f>IF(IF($AT42&lt;&gt;"",VLOOKUP(CONCATENATE($AT42,$AU42,$AV42,$F42),'SKU Dist'!$E$2:$X$200,'SKU Dist'!K$1,FALSE),"")=0,"",IF($AT42&lt;&gt;"",VLOOKUP(CONCATENATE($AT42,$AU42,$AV42,$F42),'SKU Dist'!$E$2:$X$200,'SKU Dist'!K$1,FALSE),""))</f>
        <v/>
      </c>
      <c r="R42" s="389" t="str">
        <f>IF(IF($AT42&lt;&gt;"",VLOOKUP(CONCATENATE($AT42,$AU42,$AV42,$F42),'SKU Dist'!$E$2:$X$200,'SKU Dist'!L$1,FALSE),"")=0,"",IF($AT42&lt;&gt;"",VLOOKUP(CONCATENATE($AT42,$AU42,$AV42,$F42),'SKU Dist'!$E$2:$X$200,'SKU Dist'!L$1,FALSE),""))</f>
        <v/>
      </c>
      <c r="S42" s="389">
        <v>1</v>
      </c>
      <c r="T42" s="389">
        <v>1</v>
      </c>
      <c r="U42" s="389">
        <v>2</v>
      </c>
      <c r="V42" s="389">
        <v>2</v>
      </c>
      <c r="W42" s="389">
        <v>2</v>
      </c>
      <c r="X42" s="389">
        <v>2</v>
      </c>
      <c r="Y42" s="389">
        <v>1</v>
      </c>
      <c r="Z42" s="389">
        <v>2</v>
      </c>
      <c r="AA42" s="389" t="str">
        <f>IF(IF($AT42&lt;&gt;"",VLOOKUP(CONCATENATE($AT42,$AU42,$AV42,$F42),'SKU Dist'!$E$2:$X$200,'SKU Dist'!U$1,FALSE),"")=0,"",IF($AT42&lt;&gt;"",VLOOKUP(CONCATENATE($AT42,$AU42,$AV42,$F42),'SKU Dist'!$E$2:$X$200,'SKU Dist'!U$1,FALSE),""))</f>
        <v/>
      </c>
      <c r="AB42" s="389" t="str">
        <f>IF(IF($AT42&lt;&gt;"",VLOOKUP(CONCATENATE($AT42,$AU42,$AV42,$F42),'SKU Dist'!$E$2:$X$200,'SKU Dist'!V$1,FALSE),"")=0,"",IF($AT42&lt;&gt;"",VLOOKUP(CONCATENATE($AT42,$AU42,$AV42,$F42),'SKU Dist'!$E$2:$X$200,'SKU Dist'!V$1,FALSE),""))</f>
        <v/>
      </c>
      <c r="AC42" s="389" t="str">
        <f>IF(IF($AT42&lt;&gt;"",VLOOKUP(CONCATENATE($AT42,$AU42,$AV42,$F42),'SKU Dist'!$E$2:$X$200,'SKU Dist'!W$1,FALSE),"")=0,"",IF($AT42&lt;&gt;"",VLOOKUP(CONCATENATE($AT42,$AU42,$AV42,$F42),'SKU Dist'!$E$2:$X$200,'SKU Dist'!W$1,FALSE),""))</f>
        <v/>
      </c>
      <c r="AD42" s="390"/>
      <c r="AE42" s="390"/>
      <c r="AF42" s="390"/>
      <c r="AG42" s="919">
        <f t="shared" si="29"/>
        <v>13</v>
      </c>
      <c r="AH42" s="817">
        <v>140</v>
      </c>
      <c r="AI42" s="943">
        <f t="shared" si="30"/>
        <v>1820</v>
      </c>
      <c r="AJ42" s="926"/>
      <c r="AK42" s="5"/>
      <c r="AT42" s="222" t="str">
        <f t="shared" ref="AT42:AT43" si="31">IF(E42=E41,AT41,IF(B42="","",B42))</f>
        <v/>
      </c>
      <c r="AU42" s="206" t="s">
        <v>9</v>
      </c>
      <c r="AV42" s="206" t="s">
        <v>10</v>
      </c>
    </row>
    <row r="43" spans="1:48" s="39" customFormat="1" ht="15.75" x14ac:dyDescent="0.2">
      <c r="A43" s="630"/>
      <c r="B43" s="1031"/>
      <c r="C43" s="857" t="s">
        <v>254</v>
      </c>
      <c r="D43" s="868" t="s">
        <v>291</v>
      </c>
      <c r="E43" s="888">
        <v>2669</v>
      </c>
      <c r="F43" s="887" t="s">
        <v>68</v>
      </c>
      <c r="G43" s="641"/>
      <c r="H43" s="392"/>
      <c r="I43" s="392"/>
      <c r="J43" s="392"/>
      <c r="K43" s="392"/>
      <c r="L43" s="392"/>
      <c r="M43" s="392"/>
      <c r="N43" s="389" t="str">
        <f>IF(IF($AT43&lt;&gt;"",VLOOKUP(CONCATENATE($AT43,$AU43,$AV43,$F43),'SKU Dist'!$E$2:$X$200,'SKU Dist'!H$1,FALSE),"")=0,"",IF($AT43&lt;&gt;"",VLOOKUP(CONCATENATE($AT43,$AU43,$AV43,$F43),'SKU Dist'!$E$2:$X$200,'SKU Dist'!H$1,FALSE),""))</f>
        <v/>
      </c>
      <c r="O43" s="389" t="str">
        <f>IF(IF($AT43&lt;&gt;"",VLOOKUP(CONCATENATE($AT43,$AU43,$AV43,$F43),'SKU Dist'!$E$2:$X$200,'SKU Dist'!I$1,FALSE),"")=0,"",IF($AT43&lt;&gt;"",VLOOKUP(CONCATENATE($AT43,$AU43,$AV43,$F43),'SKU Dist'!$E$2:$X$200,'SKU Dist'!I$1,FALSE),""))</f>
        <v/>
      </c>
      <c r="P43" s="389" t="str">
        <f>IF(IF($AT43&lt;&gt;"",VLOOKUP(CONCATENATE($AT43,$AU43,$AV43,$F43),'SKU Dist'!$E$2:$X$200,'SKU Dist'!J$1,FALSE),"")=0,"",IF($AT43&lt;&gt;"",VLOOKUP(CONCATENATE($AT43,$AU43,$AV43,$F43),'SKU Dist'!$E$2:$X$200,'SKU Dist'!J$1,FALSE),""))</f>
        <v/>
      </c>
      <c r="Q43" s="389" t="str">
        <f>IF(IF($AT43&lt;&gt;"",VLOOKUP(CONCATENATE($AT43,$AU43,$AV43,$F43),'SKU Dist'!$E$2:$X$200,'SKU Dist'!K$1,FALSE),"")=0,"",IF($AT43&lt;&gt;"",VLOOKUP(CONCATENATE($AT43,$AU43,$AV43,$F43),'SKU Dist'!$E$2:$X$200,'SKU Dist'!K$1,FALSE),""))</f>
        <v/>
      </c>
      <c r="R43" s="389" t="str">
        <f>IF(IF($AT43&lt;&gt;"",VLOOKUP(CONCATENATE($AT43,$AU43,$AV43,$F43),'SKU Dist'!$E$2:$X$200,'SKU Dist'!L$1,FALSE),"")=0,"",IF($AT43&lt;&gt;"",VLOOKUP(CONCATENATE($AT43,$AU43,$AV43,$F43),'SKU Dist'!$E$2:$X$200,'SKU Dist'!L$1,FALSE),""))</f>
        <v/>
      </c>
      <c r="S43" s="389"/>
      <c r="T43" s="389">
        <v>1</v>
      </c>
      <c r="U43" s="389">
        <v>1</v>
      </c>
      <c r="V43" s="389">
        <v>1</v>
      </c>
      <c r="W43" s="389">
        <v>1</v>
      </c>
      <c r="X43" s="389">
        <v>1</v>
      </c>
      <c r="Y43" s="389"/>
      <c r="Z43" s="389">
        <v>1</v>
      </c>
      <c r="AA43" s="389" t="str">
        <f>IF(IF($AT43&lt;&gt;"",VLOOKUP(CONCATENATE($AT43,$AU43,$AV43,$F43),'SKU Dist'!$E$2:$X$200,'SKU Dist'!U$1,FALSE),"")=0,"",IF($AT43&lt;&gt;"",VLOOKUP(CONCATENATE($AT43,$AU43,$AV43,$F43),'SKU Dist'!$E$2:$X$200,'SKU Dist'!U$1,FALSE),""))</f>
        <v/>
      </c>
      <c r="AB43" s="389" t="str">
        <f>IF(IF($AT43&lt;&gt;"",VLOOKUP(CONCATENATE($AT43,$AU43,$AV43,$F43),'SKU Dist'!$E$2:$X$200,'SKU Dist'!V$1,FALSE),"")=0,"",IF($AT43&lt;&gt;"",VLOOKUP(CONCATENATE($AT43,$AU43,$AV43,$F43),'SKU Dist'!$E$2:$X$200,'SKU Dist'!V$1,FALSE),""))</f>
        <v/>
      </c>
      <c r="AC43" s="389" t="str">
        <f>IF(IF($AT43&lt;&gt;"",VLOOKUP(CONCATENATE($AT43,$AU43,$AV43,$F43),'SKU Dist'!$E$2:$X$200,'SKU Dist'!W$1,FALSE),"")=0,"",IF($AT43&lt;&gt;"",VLOOKUP(CONCATENATE($AT43,$AU43,$AV43,$F43),'SKU Dist'!$E$2:$X$200,'SKU Dist'!W$1,FALSE),""))</f>
        <v/>
      </c>
      <c r="AD43" s="390"/>
      <c r="AE43" s="390"/>
      <c r="AF43" s="390"/>
      <c r="AG43" s="919">
        <f t="shared" si="29"/>
        <v>6</v>
      </c>
      <c r="AH43" s="817">
        <v>140</v>
      </c>
      <c r="AI43" s="943">
        <f t="shared" si="30"/>
        <v>840</v>
      </c>
      <c r="AJ43" s="926"/>
      <c r="AK43" s="5"/>
      <c r="AT43" s="222" t="str">
        <f t="shared" si="31"/>
        <v/>
      </c>
      <c r="AU43" s="206" t="s">
        <v>9</v>
      </c>
      <c r="AV43" s="206" t="s">
        <v>10</v>
      </c>
    </row>
    <row r="44" spans="1:48" s="39" customFormat="1" ht="15.75" customHeight="1" thickBot="1" x14ac:dyDescent="0.3">
      <c r="A44" s="838"/>
      <c r="B44" s="1032"/>
      <c r="C44" s="863" t="s">
        <v>254</v>
      </c>
      <c r="D44" s="875" t="s">
        <v>291</v>
      </c>
      <c r="E44" s="903">
        <v>2669</v>
      </c>
      <c r="F44" s="904" t="s">
        <v>69</v>
      </c>
      <c r="G44" s="880"/>
      <c r="H44" s="393"/>
      <c r="I44" s="393"/>
      <c r="J44" s="393"/>
      <c r="K44" s="393"/>
      <c r="L44" s="393"/>
      <c r="M44" s="393"/>
      <c r="N44" s="393"/>
      <c r="O44" s="393"/>
      <c r="P44" s="393"/>
      <c r="Q44" s="393"/>
      <c r="R44" s="741" t="str">
        <f>IF(IF($AT44&lt;&gt;"",VLOOKUP(CONCATENATE($AT44,$AU44,$AV44,$F44),'SKU Dist'!$E$2:$X$200,'SKU Dist'!L$1,FALSE),"")=0,"",IF($AT44&lt;&gt;"",VLOOKUP(CONCATENATE($AT44,$AU44,$AV44,$F44),'SKU Dist'!$E$2:$X$200,'SKU Dist'!L$1,FALSE),""))</f>
        <v/>
      </c>
      <c r="S44" s="741" t="str">
        <f>IF(IF($AT44&lt;&gt;"",VLOOKUP(CONCATENATE($AT44,$AU44,$AV44,$F44),'SKU Dist'!$E$2:$X$200,'SKU Dist'!M$1,FALSE),"")=0,"",IF($AT44&lt;&gt;"",VLOOKUP(CONCATENATE($AT44,$AU44,$AV44,$F44),'SKU Dist'!$E$2:$X$200,'SKU Dist'!M$1,FALSE),""))</f>
        <v/>
      </c>
      <c r="T44" s="741" t="str">
        <f>IF(IF($AT44&lt;&gt;"",VLOOKUP(CONCATENATE($AT44,$AU44,$AV44,$F44),'SKU Dist'!$E$2:$X$200,'SKU Dist'!N$1,FALSE),"")=0,"",IF($AT44&lt;&gt;"",VLOOKUP(CONCATENATE($AT44,$AU44,$AV44,$F44),'SKU Dist'!$E$2:$X$200,'SKU Dist'!N$1,FALSE),""))</f>
        <v/>
      </c>
      <c r="U44" s="741" t="str">
        <f>IF(IF($AT44&lt;&gt;"",VLOOKUP(CONCATENATE($AT44,$AU44,$AV44,$F44),'SKU Dist'!$E$2:$X$200,'SKU Dist'!O$1,FALSE),"")=0,"",IF($AT44&lt;&gt;"",VLOOKUP(CONCATENATE($AT44,$AU44,$AV44,$F44),'SKU Dist'!$E$2:$X$200,'SKU Dist'!O$1,FALSE),""))</f>
        <v/>
      </c>
      <c r="V44" s="741" t="str">
        <f>IF(IF($AT44&lt;&gt;"",VLOOKUP(CONCATENATE($AT44,$AU44,$AV44,$F44),'SKU Dist'!$E$2:$X$200,'SKU Dist'!P$1,FALSE),"")=0,"",IF($AT44&lt;&gt;"",VLOOKUP(CONCATENATE($AT44,$AU44,$AV44,$F44),'SKU Dist'!$E$2:$X$200,'SKU Dist'!P$1,FALSE),""))</f>
        <v/>
      </c>
      <c r="W44" s="741" t="str">
        <f>IF(IF($AT44&lt;&gt;"",VLOOKUP(CONCATENATE($AT44,$AU44,$AV44,$F44),'SKU Dist'!$E$2:$X$200,'SKU Dist'!Q$1,FALSE),"")=0,"",IF($AT44&lt;&gt;"",VLOOKUP(CONCATENATE($AT44,$AU44,$AV44,$F44),'SKU Dist'!$E$2:$X$200,'SKU Dist'!Q$1,FALSE),""))</f>
        <v/>
      </c>
      <c r="X44" s="741" t="str">
        <f>IF(IF($AT44&lt;&gt;"",VLOOKUP(CONCATENATE($AT44,$AU44,$AV44,$F44),'SKU Dist'!$E$2:$X$200,'SKU Dist'!R$1,FALSE),"")=0,"",IF($AT44&lt;&gt;"",VLOOKUP(CONCATENATE($AT44,$AU44,$AV44,$F44),'SKU Dist'!$E$2:$X$200,'SKU Dist'!R$1,FALSE),""))</f>
        <v/>
      </c>
      <c r="Y44" s="741" t="str">
        <f>IF(IF($AT44&lt;&gt;"",VLOOKUP(CONCATENATE($AT44,$AU44,$AV44,$F44),'SKU Dist'!$E$2:$X$200,'SKU Dist'!S$1,FALSE),"")=0,"",IF($AT44&lt;&gt;"",VLOOKUP(CONCATENATE($AT44,$AU44,$AV44,$F44),'SKU Dist'!$E$2:$X$200,'SKU Dist'!S$1,FALSE),""))</f>
        <v/>
      </c>
      <c r="Z44" s="741" t="str">
        <f>IF(IF($AT44&lt;&gt;"",VLOOKUP(CONCATENATE($AT44,$AU44,$AV44,$F44),'SKU Dist'!$E$2:$X$200,'SKU Dist'!T$1,FALSE),"")=0,"",IF($AT44&lt;&gt;"",VLOOKUP(CONCATENATE($AT44,$AU44,$AV44,$F44),'SKU Dist'!$E$2:$X$200,'SKU Dist'!T$1,FALSE),""))</f>
        <v/>
      </c>
      <c r="AA44" s="741" t="str">
        <f>IF(IF($AT44&lt;&gt;"",VLOOKUP(CONCATENATE($AT44,$AU44,$AV44,$F44),'SKU Dist'!$E$2:$X$200,'SKU Dist'!U$1,FALSE),"")=0,"",IF($AT44&lt;&gt;"",VLOOKUP(CONCATENATE($AT44,$AU44,$AV44,$F44),'SKU Dist'!$E$2:$X$200,'SKU Dist'!U$1,FALSE),""))</f>
        <v/>
      </c>
      <c r="AB44" s="741" t="str">
        <f>IF(IF($AT44&lt;&gt;"",VLOOKUP(CONCATENATE($AT44,$AU44,$AV44,$F44),'SKU Dist'!$E$2:$X$200,'SKU Dist'!V$1,FALSE),"")=0,"",IF($AT44&lt;&gt;"",VLOOKUP(CONCATENATE($AT44,$AU44,$AV44,$F44),'SKU Dist'!$E$2:$X$200,'SKU Dist'!V$1,FALSE),""))</f>
        <v/>
      </c>
      <c r="AC44" s="391"/>
      <c r="AD44" s="391"/>
      <c r="AE44" s="391"/>
      <c r="AF44" s="391"/>
      <c r="AG44" s="920">
        <f t="shared" ref="AG44" si="32">SUM(G44:AF44)</f>
        <v>0</v>
      </c>
      <c r="AH44" s="818">
        <v>140</v>
      </c>
      <c r="AI44" s="950">
        <f t="shared" ref="AI44" si="33">AG44*AH44</f>
        <v>0</v>
      </c>
      <c r="AJ44" s="936"/>
      <c r="AK44" s="5"/>
      <c r="AT44" s="222"/>
      <c r="AU44" s="206" t="s">
        <v>9</v>
      </c>
      <c r="AV44" s="206" t="s">
        <v>10</v>
      </c>
    </row>
    <row r="45" spans="1:48" ht="15.6" customHeight="1" x14ac:dyDescent="0.25">
      <c r="A45" s="788" t="s">
        <v>211</v>
      </c>
      <c r="B45" s="1035"/>
      <c r="C45" s="864" t="s">
        <v>257</v>
      </c>
      <c r="D45" s="876" t="s">
        <v>259</v>
      </c>
      <c r="E45" s="905" t="s">
        <v>261</v>
      </c>
      <c r="F45" s="906" t="s">
        <v>35</v>
      </c>
      <c r="G45" s="642"/>
      <c r="H45" s="432"/>
      <c r="I45" s="432"/>
      <c r="J45" s="432"/>
      <c r="K45" s="432"/>
      <c r="L45" s="432"/>
      <c r="M45" s="432"/>
      <c r="N45" s="646" t="str">
        <f>IF(IF($AT45&lt;&gt;"",VLOOKUP(CONCATENATE($AT45,$AU45,$AV45,$F45),'SKU Dist'!$E$2:$X$200,'SKU Dist'!H$1,FALSE),"")=0,"",IF($AT45&lt;&gt;"",VLOOKUP(CONCATENATE($AT45,$AU45,$AV45,$F45),'SKU Dist'!$E$2:$X$200,'SKU Dist'!H$1,FALSE),""))</f>
        <v/>
      </c>
      <c r="O45" s="646" t="str">
        <f>IF(IF($AT45&lt;&gt;"",VLOOKUP(CONCATENATE($AT45,$AU45,$AV45,$F45),'SKU Dist'!$E$2:$X$200,'SKU Dist'!I$1,FALSE),"")=0,"",IF($AT45&lt;&gt;"",VLOOKUP(CONCATENATE($AT45,$AU45,$AV45,$F45),'SKU Dist'!$E$2:$X$200,'SKU Dist'!I$1,FALSE),""))</f>
        <v/>
      </c>
      <c r="P45" s="646" t="str">
        <f>IF(IF($AT45&lt;&gt;"",VLOOKUP(CONCATENATE($AT45,$AU45,$AV45,$F45),'SKU Dist'!$E$2:$X$200,'SKU Dist'!J$1,FALSE),"")=0,"",IF($AT45&lt;&gt;"",VLOOKUP(CONCATENATE($AT45,$AU45,$AV45,$F45),'SKU Dist'!$E$2:$X$200,'SKU Dist'!J$1,FALSE),""))</f>
        <v/>
      </c>
      <c r="Q45" s="646" t="str">
        <f>IF(IF($AT45&lt;&gt;"",VLOOKUP(CONCATENATE($AT45,$AU45,$AV45,$F45),'SKU Dist'!$E$2:$X$200,'SKU Dist'!K$1,FALSE),"")=0,"",IF($AT45&lt;&gt;"",VLOOKUP(CONCATENATE($AT45,$AU45,$AV45,$F45),'SKU Dist'!$E$2:$X$200,'SKU Dist'!K$1,FALSE),""))</f>
        <v/>
      </c>
      <c r="R45" s="646" t="str">
        <f>IF(IF($AT45&lt;&gt;"",VLOOKUP(CONCATENATE($AT45,$AU45,$AV45,$F45),'SKU Dist'!$E$2:$X$200,'SKU Dist'!L$1,FALSE),"")=0,"",IF($AT45&lt;&gt;"",VLOOKUP(CONCATENATE($AT45,$AU45,$AV45,$F45),'SKU Dist'!$E$2:$X$200,'SKU Dist'!L$1,FALSE),""))</f>
        <v/>
      </c>
      <c r="S45" s="646" t="str">
        <f>IF(IF($AT45&lt;&gt;"",VLOOKUP(CONCATENATE($AT45,$AU45,$AV45,$F45),'SKU Dist'!$E$2:$X$200,'SKU Dist'!M$1,FALSE),"")=0,"",IF($AT45&lt;&gt;"",VLOOKUP(CONCATENATE($AT45,$AU45,$AV45,$F45),'SKU Dist'!$E$2:$X$200,'SKU Dist'!M$1,FALSE),""))</f>
        <v/>
      </c>
      <c r="T45" s="646" t="str">
        <f>IF(IF($AT45&lt;&gt;"",VLOOKUP(CONCATENATE($AT45,$AU45,$AV45,$F45),'SKU Dist'!$E$2:$X$200,'SKU Dist'!N$1,FALSE),"")=0,"",IF($AT45&lt;&gt;"",VLOOKUP(CONCATENATE($AT45,$AU45,$AV45,$F45),'SKU Dist'!$E$2:$X$200,'SKU Dist'!N$1,FALSE),""))</f>
        <v/>
      </c>
      <c r="U45" s="646" t="str">
        <f>IF(IF($AT45&lt;&gt;"",VLOOKUP(CONCATENATE($AT45,$AU45,$AV45,$F45),'SKU Dist'!$E$2:$X$200,'SKU Dist'!O$1,FALSE),"")=0,"",IF($AT45&lt;&gt;"",VLOOKUP(CONCATENATE($AT45,$AU45,$AV45,$F45),'SKU Dist'!$E$2:$X$200,'SKU Dist'!O$1,FALSE),""))</f>
        <v/>
      </c>
      <c r="V45" s="646" t="str">
        <f>IF(IF($AT45&lt;&gt;"",VLOOKUP(CONCATENATE($AT45,$AU45,$AV45,$F45),'SKU Dist'!$E$2:$X$200,'SKU Dist'!P$1,FALSE),"")=0,"",IF($AT45&lt;&gt;"",VLOOKUP(CONCATENATE($AT45,$AU45,$AV45,$F45),'SKU Dist'!$E$2:$X$200,'SKU Dist'!P$1,FALSE),""))</f>
        <v/>
      </c>
      <c r="W45" s="646" t="str">
        <f>IF(IF($AT45&lt;&gt;"",VLOOKUP(CONCATENATE($AT45,$AU45,$AV45,$F45),'SKU Dist'!$E$2:$X$200,'SKU Dist'!Q$1,FALSE),"")=0,"",IF($AT45&lt;&gt;"",VLOOKUP(CONCATENATE($AT45,$AU45,$AV45,$F45),'SKU Dist'!$E$2:$X$200,'SKU Dist'!Q$1,FALSE),""))</f>
        <v/>
      </c>
      <c r="X45" s="646" t="str">
        <f>IF(IF($AT45&lt;&gt;"",VLOOKUP(CONCATENATE($AT45,$AU45,$AV45,$F45),'SKU Dist'!$E$2:$X$200,'SKU Dist'!R$1,FALSE),"")=0,"",IF($AT45&lt;&gt;"",VLOOKUP(CONCATENATE($AT45,$AU45,$AV45,$F45),'SKU Dist'!$E$2:$X$200,'SKU Dist'!R$1,FALSE),""))</f>
        <v/>
      </c>
      <c r="Y45" s="646" t="str">
        <f>IF(IF($AT45&lt;&gt;"",VLOOKUP(CONCATENATE($AT45,$AU45,$AV45,$F45),'SKU Dist'!$E$2:$X$200,'SKU Dist'!S$1,FALSE),"")=0,"",IF($AT45&lt;&gt;"",VLOOKUP(CONCATENATE($AT45,$AU45,$AV45,$F45),'SKU Dist'!$E$2:$X$200,'SKU Dist'!S$1,FALSE),""))</f>
        <v/>
      </c>
      <c r="Z45" s="646" t="str">
        <f>IF(IF($AT45&lt;&gt;"",VLOOKUP(CONCATENATE($AT45,$AU45,$AV45,$F45),'SKU Dist'!$E$2:$X$200,'SKU Dist'!T$1,FALSE),"")=0,"",IF($AT45&lt;&gt;"",VLOOKUP(CONCATENATE($AT45,$AU45,$AV45,$F45),'SKU Dist'!$E$2:$X$200,'SKU Dist'!T$1,FALSE),""))</f>
        <v/>
      </c>
      <c r="AA45" s="646" t="str">
        <f>IF(IF($AT45&lt;&gt;"",VLOOKUP(CONCATENATE($AT45,$AU45,$AV45,$F45),'SKU Dist'!$E$2:$X$200,'SKU Dist'!U$1,FALSE),"")=0,"",IF($AT45&lt;&gt;"",VLOOKUP(CONCATENATE($AT45,$AU45,$AV45,$F45),'SKU Dist'!$E$2:$X$200,'SKU Dist'!U$1,FALSE),""))</f>
        <v/>
      </c>
      <c r="AB45" s="646" t="str">
        <f>IF(IF($AT45&lt;&gt;"",VLOOKUP(CONCATENATE($AT45,$AU45,$AV45,$F45),'SKU Dist'!$E$2:$X$200,'SKU Dist'!V$1,FALSE),"")=0,"",IF($AT45&lt;&gt;"",VLOOKUP(CONCATENATE($AT45,$AU45,$AV45,$F45),'SKU Dist'!$E$2:$X$200,'SKU Dist'!V$1,FALSE),""))</f>
        <v/>
      </c>
      <c r="AC45" s="646"/>
      <c r="AD45" s="435"/>
      <c r="AE45" s="435"/>
      <c r="AF45" s="435"/>
      <c r="AG45" s="921">
        <f t="shared" ref="AG45" si="34">SUM(G45:AF45)</f>
        <v>0</v>
      </c>
      <c r="AH45" s="833">
        <v>115</v>
      </c>
      <c r="AI45" s="951">
        <f t="shared" ref="AI45:AI54" si="35">AG45*AH45</f>
        <v>0</v>
      </c>
      <c r="AJ45" s="937"/>
      <c r="AT45" s="222"/>
      <c r="AU45" s="206" t="s">
        <v>9</v>
      </c>
      <c r="AV45" s="206" t="s">
        <v>10</v>
      </c>
    </row>
    <row r="46" spans="1:48" ht="15.75" x14ac:dyDescent="0.2">
      <c r="A46" s="639" t="s">
        <v>244</v>
      </c>
      <c r="B46" s="1029"/>
      <c r="C46" s="861" t="s">
        <v>257</v>
      </c>
      <c r="D46" s="873" t="s">
        <v>259</v>
      </c>
      <c r="E46" s="900" t="s">
        <v>261</v>
      </c>
      <c r="F46" s="898" t="s">
        <v>68</v>
      </c>
      <c r="G46" s="641"/>
      <c r="H46" s="392"/>
      <c r="I46" s="392"/>
      <c r="J46" s="392"/>
      <c r="K46" s="392"/>
      <c r="L46" s="392" t="str">
        <f>IF(IF($AT46&lt;&gt;"",VLOOKUP(CONCATENATE($AT46,$AU46,$AV46,$F46),'SKU Dist'!$E$2:$X$200,'SKU Dist'!F$1,FALSE),"")=0,"",IF($AT46&lt;&gt;"",VLOOKUP(CONCATENATE($AT46,$AU46,$AV46,$F46),'SKU Dist'!$E$2:$X$200,'SKU Dist'!F$1,FALSE),""))</f>
        <v/>
      </c>
      <c r="M46" s="392" t="str">
        <f>IF(IF($AT46&lt;&gt;"",VLOOKUP(CONCATENATE($AT46,$AU46,$AV46,$F46),'SKU Dist'!$E$2:$X$200,'SKU Dist'!G$1,FALSE),"")=0,"",IF($AT46&lt;&gt;"",VLOOKUP(CONCATENATE($AT46,$AU46,$AV46,$F46),'SKU Dist'!$E$2:$X$200,'SKU Dist'!G$1,FALSE),""))</f>
        <v/>
      </c>
      <c r="N46" s="635" t="str">
        <f>IF(IF($AT46&lt;&gt;"",VLOOKUP(CONCATENATE($AT46,$AU46,$AV46,$F46),'SKU Dist'!$E$2:$X$200,'SKU Dist'!H$1,FALSE),"")=0,"",IF($AT46&lt;&gt;"",VLOOKUP(CONCATENATE($AT46,$AU46,$AV46,$F46),'SKU Dist'!$E$2:$X$200,'SKU Dist'!H$1,FALSE),""))</f>
        <v/>
      </c>
      <c r="O46" s="635" t="str">
        <f>IF(IF($AT46&lt;&gt;"",VLOOKUP(CONCATENATE($AT46,$AU46,$AV46,$F46),'SKU Dist'!$E$2:$X$200,'SKU Dist'!I$1,FALSE),"")=0,"",IF($AT46&lt;&gt;"",VLOOKUP(CONCATENATE($AT46,$AU46,$AV46,$F46),'SKU Dist'!$E$2:$X$200,'SKU Dist'!I$1,FALSE),""))</f>
        <v/>
      </c>
      <c r="P46" s="635" t="str">
        <f>IF(IF($AT46&lt;&gt;"",VLOOKUP(CONCATENATE($AT46,$AU46,$AV46,$F46),'SKU Dist'!$E$2:$X$200,'SKU Dist'!J$1,FALSE),"")=0,"",IF($AT46&lt;&gt;"",VLOOKUP(CONCATENATE($AT46,$AU46,$AV46,$F46),'SKU Dist'!$E$2:$X$200,'SKU Dist'!J$1,FALSE),""))</f>
        <v/>
      </c>
      <c r="Q46" s="635" t="str">
        <f>IF(IF($AT46&lt;&gt;"",VLOOKUP(CONCATENATE($AT46,$AU46,$AV46,$F46),'SKU Dist'!$E$2:$X$200,'SKU Dist'!K$1,FALSE),"")=0,"",IF($AT46&lt;&gt;"",VLOOKUP(CONCATENATE($AT46,$AU46,$AV46,$F46),'SKU Dist'!$E$2:$X$200,'SKU Dist'!K$1,FALSE),""))</f>
        <v/>
      </c>
      <c r="R46" s="635" t="str">
        <f>IF(IF($AT46&lt;&gt;"",VLOOKUP(CONCATENATE($AT46,$AU46,$AV46,$F46),'SKU Dist'!$E$2:$X$200,'SKU Dist'!L$1,FALSE),"")=0,"",IF($AT46&lt;&gt;"",VLOOKUP(CONCATENATE($AT46,$AU46,$AV46,$F46),'SKU Dist'!$E$2:$X$200,'SKU Dist'!L$1,FALSE),""))</f>
        <v/>
      </c>
      <c r="S46" s="635" t="str">
        <f>IF(IF($AT46&lt;&gt;"",VLOOKUP(CONCATENATE($AT46,$AU46,$AV46,$F46),'SKU Dist'!$E$2:$X$200,'SKU Dist'!M$1,FALSE),"")=0,"",IF($AT46&lt;&gt;"",VLOOKUP(CONCATENATE($AT46,$AU46,$AV46,$F46),'SKU Dist'!$E$2:$X$200,'SKU Dist'!M$1,FALSE),""))</f>
        <v/>
      </c>
      <c r="T46" s="635" t="str">
        <f>IF(IF($AT46&lt;&gt;"",VLOOKUP(CONCATENATE($AT46,$AU46,$AV46,$F46),'SKU Dist'!$E$2:$X$200,'SKU Dist'!N$1,FALSE),"")=0,"",IF($AT46&lt;&gt;"",VLOOKUP(CONCATENATE($AT46,$AU46,$AV46,$F46),'SKU Dist'!$E$2:$X$200,'SKU Dist'!N$1,FALSE),""))</f>
        <v/>
      </c>
      <c r="U46" s="635" t="str">
        <f>IF(IF($AT46&lt;&gt;"",VLOOKUP(CONCATENATE($AT46,$AU46,$AV46,$F46),'SKU Dist'!$E$2:$X$200,'SKU Dist'!O$1,FALSE),"")=0,"",IF($AT46&lt;&gt;"",VLOOKUP(CONCATENATE($AT46,$AU46,$AV46,$F46),'SKU Dist'!$E$2:$X$200,'SKU Dist'!O$1,FALSE),""))</f>
        <v/>
      </c>
      <c r="V46" s="635" t="str">
        <f>IF(IF($AT46&lt;&gt;"",VLOOKUP(CONCATENATE($AT46,$AU46,$AV46,$F46),'SKU Dist'!$E$2:$X$200,'SKU Dist'!P$1,FALSE),"")=0,"",IF($AT46&lt;&gt;"",VLOOKUP(CONCATENATE($AT46,$AU46,$AV46,$F46),'SKU Dist'!$E$2:$X$200,'SKU Dist'!P$1,FALSE),""))</f>
        <v/>
      </c>
      <c r="W46" s="635" t="str">
        <f>IF(IF($AT46&lt;&gt;"",VLOOKUP(CONCATENATE($AT46,$AU46,$AV46,$F46),'SKU Dist'!$E$2:$X$200,'SKU Dist'!Q$1,FALSE),"")=0,"",IF($AT46&lt;&gt;"",VLOOKUP(CONCATENATE($AT46,$AU46,$AV46,$F46),'SKU Dist'!$E$2:$X$200,'SKU Dist'!Q$1,FALSE),""))</f>
        <v/>
      </c>
      <c r="X46" s="635" t="str">
        <f>IF(IF($AT46&lt;&gt;"",VLOOKUP(CONCATENATE($AT46,$AU46,$AV46,$F46),'SKU Dist'!$E$2:$X$200,'SKU Dist'!R$1,FALSE),"")=0,"",IF($AT46&lt;&gt;"",VLOOKUP(CONCATENATE($AT46,$AU46,$AV46,$F46),'SKU Dist'!$E$2:$X$200,'SKU Dist'!R$1,FALSE),""))</f>
        <v/>
      </c>
      <c r="Y46" s="635" t="str">
        <f>IF(IF($AT46&lt;&gt;"",VLOOKUP(CONCATENATE($AT46,$AU46,$AV46,$F46),'SKU Dist'!$E$2:$X$200,'SKU Dist'!S$1,FALSE),"")=0,"",IF($AT46&lt;&gt;"",VLOOKUP(CONCATENATE($AT46,$AU46,$AV46,$F46),'SKU Dist'!$E$2:$X$200,'SKU Dist'!S$1,FALSE),""))</f>
        <v/>
      </c>
      <c r="Z46" s="635" t="str">
        <f>IF(IF($AT46&lt;&gt;"",VLOOKUP(CONCATENATE($AT46,$AU46,$AV46,$F46),'SKU Dist'!$E$2:$X$200,'SKU Dist'!T$1,FALSE),"")=0,"",IF($AT46&lt;&gt;"",VLOOKUP(CONCATENATE($AT46,$AU46,$AV46,$F46),'SKU Dist'!$E$2:$X$200,'SKU Dist'!T$1,FALSE),""))</f>
        <v/>
      </c>
      <c r="AA46" s="635" t="str">
        <f>IF(IF($AT46&lt;&gt;"",VLOOKUP(CONCATENATE($AT46,$AU46,$AV46,$F46),'SKU Dist'!$E$2:$X$200,'SKU Dist'!U$1,FALSE),"")=0,"",IF($AT46&lt;&gt;"",VLOOKUP(CONCATENATE($AT46,$AU46,$AV46,$F46),'SKU Dist'!$E$2:$X$200,'SKU Dist'!U$1,FALSE),""))</f>
        <v/>
      </c>
      <c r="AB46" s="635" t="str">
        <f>IF(IF($AT46&lt;&gt;"",VLOOKUP(CONCATENATE($AT46,$AU46,$AV46,$F46),'SKU Dist'!$E$2:$X$200,'SKU Dist'!V$1,FALSE),"")=0,"",IF($AT46&lt;&gt;"",VLOOKUP(CONCATENATE($AT46,$AU46,$AV46,$F46),'SKU Dist'!$E$2:$X$200,'SKU Dist'!V$1,FALSE),""))</f>
        <v/>
      </c>
      <c r="AC46" s="390" t="str">
        <f>IF(IF($AT46&lt;&gt;"",VLOOKUP(CONCATENATE($AT46,$AU46,$AV46,$F46),'SKU Dist'!$E$2:$X$200,'SKU Dist'!W$1,FALSE),"")=0,"",IF($AT46&lt;&gt;"",VLOOKUP(CONCATENATE($AT46,$AU46,$AV46,$F46),'SKU Dist'!$E$2:$X$200,'SKU Dist'!W$1,FALSE),""))</f>
        <v/>
      </c>
      <c r="AD46" s="390" t="str">
        <f>IF(IF($AT46&lt;&gt;"",VLOOKUP(CONCATENATE($AT46,$AU46,$AV46,$F46),'SKU Dist'!$E$2:$X$200,'SKU Dist'!X$1,FALSE),"")=0,"",IF($AT46&lt;&gt;"",VLOOKUP(CONCATENATE($AT46,$AU46,$AV46,$F46),'SKU Dist'!$E$2:$X$200,'SKU Dist'!X$1,FALSE),""))</f>
        <v/>
      </c>
      <c r="AE46" s="390"/>
      <c r="AF46" s="390"/>
      <c r="AG46" s="803">
        <f t="shared" ref="AG46:AG47" si="36">SUM(G46:AF46)</f>
        <v>0</v>
      </c>
      <c r="AH46" s="814">
        <v>115</v>
      </c>
      <c r="AI46" s="948">
        <f t="shared" si="35"/>
        <v>0</v>
      </c>
      <c r="AJ46" s="931"/>
      <c r="AT46" s="222"/>
      <c r="AU46" s="206" t="s">
        <v>9</v>
      </c>
      <c r="AV46" s="206" t="s">
        <v>10</v>
      </c>
    </row>
    <row r="47" spans="1:48" ht="15.75" x14ac:dyDescent="0.25">
      <c r="A47" s="654">
        <f>SUM(AG45:AG54)</f>
        <v>0</v>
      </c>
      <c r="B47" s="1031"/>
      <c r="C47" s="857" t="s">
        <v>257</v>
      </c>
      <c r="D47" s="868" t="s">
        <v>259</v>
      </c>
      <c r="E47" s="907" t="s">
        <v>262</v>
      </c>
      <c r="F47" s="887" t="s">
        <v>35</v>
      </c>
      <c r="G47" s="643"/>
      <c r="H47" s="433"/>
      <c r="I47" s="433"/>
      <c r="J47" s="433"/>
      <c r="K47" s="433"/>
      <c r="L47" s="433"/>
      <c r="M47" s="433"/>
      <c r="N47" s="389" t="str">
        <f>IF(IF($AT47&lt;&gt;"",VLOOKUP(CONCATENATE($AT47,$AU47,$AV47,$F47),'SKU Dist'!$E$2:$X$200,'SKU Dist'!H$1,FALSE),"")=0,"",IF($AT47&lt;&gt;"",VLOOKUP(CONCATENATE($AT47,$AU47,$AV47,$F47),'SKU Dist'!$E$2:$X$200,'SKU Dist'!H$1,FALSE),""))</f>
        <v/>
      </c>
      <c r="O47" s="389" t="str">
        <f>IF(IF($AT47&lt;&gt;"",VLOOKUP(CONCATENATE($AT47,$AU47,$AV47,$F47),'SKU Dist'!$E$2:$X$200,'SKU Dist'!I$1,FALSE),"")=0,"",IF($AT47&lt;&gt;"",VLOOKUP(CONCATENATE($AT47,$AU47,$AV47,$F47),'SKU Dist'!$E$2:$X$200,'SKU Dist'!I$1,FALSE),""))</f>
        <v/>
      </c>
      <c r="P47" s="389" t="str">
        <f>IF(IF($AT47&lt;&gt;"",VLOOKUP(CONCATENATE($AT47,$AU47,$AV47,$F47),'SKU Dist'!$E$2:$X$200,'SKU Dist'!J$1,FALSE),"")=0,"",IF($AT47&lt;&gt;"",VLOOKUP(CONCATENATE($AT47,$AU47,$AV47,$F47),'SKU Dist'!$E$2:$X$200,'SKU Dist'!J$1,FALSE),""))</f>
        <v/>
      </c>
      <c r="Q47" s="389" t="str">
        <f>IF(IF($AT47&lt;&gt;"",VLOOKUP(CONCATENATE($AT47,$AU47,$AV47,$F47),'SKU Dist'!$E$2:$X$200,'SKU Dist'!K$1,FALSE),"")=0,"",IF($AT47&lt;&gt;"",VLOOKUP(CONCATENATE($AT47,$AU47,$AV47,$F47),'SKU Dist'!$E$2:$X$200,'SKU Dist'!K$1,FALSE),""))</f>
        <v/>
      </c>
      <c r="R47" s="389" t="str">
        <f>IF(IF($AT47&lt;&gt;"",VLOOKUP(CONCATENATE($AT47,$AU47,$AV47,$F47),'SKU Dist'!$E$2:$X$200,'SKU Dist'!L$1,FALSE),"")=0,"",IF($AT47&lt;&gt;"",VLOOKUP(CONCATENATE($AT47,$AU47,$AV47,$F47),'SKU Dist'!$E$2:$X$200,'SKU Dist'!L$1,FALSE),""))</f>
        <v/>
      </c>
      <c r="S47" s="389" t="str">
        <f>IF(IF($AT47&lt;&gt;"",VLOOKUP(CONCATENATE($AT47,$AU47,$AV47,$F47),'SKU Dist'!$E$2:$X$200,'SKU Dist'!M$1,FALSE),"")=0,"",IF($AT47&lt;&gt;"",VLOOKUP(CONCATENATE($AT47,$AU47,$AV47,$F47),'SKU Dist'!$E$2:$X$200,'SKU Dist'!M$1,FALSE),""))</f>
        <v/>
      </c>
      <c r="T47" s="389" t="str">
        <f>IF(IF($AT47&lt;&gt;"",VLOOKUP(CONCATENATE($AT47,$AU47,$AV47,$F47),'SKU Dist'!$E$2:$X$200,'SKU Dist'!N$1,FALSE),"")=0,"",IF($AT47&lt;&gt;"",VLOOKUP(CONCATENATE($AT47,$AU47,$AV47,$F47),'SKU Dist'!$E$2:$X$200,'SKU Dist'!N$1,FALSE),""))</f>
        <v/>
      </c>
      <c r="U47" s="389" t="str">
        <f>IF(IF($AT47&lt;&gt;"",VLOOKUP(CONCATENATE($AT47,$AU47,$AV47,$F47),'SKU Dist'!$E$2:$X$200,'SKU Dist'!O$1,FALSE),"")=0,"",IF($AT47&lt;&gt;"",VLOOKUP(CONCATENATE($AT47,$AU47,$AV47,$F47),'SKU Dist'!$E$2:$X$200,'SKU Dist'!O$1,FALSE),""))</f>
        <v/>
      </c>
      <c r="V47" s="389" t="str">
        <f>IF(IF($AT47&lt;&gt;"",VLOOKUP(CONCATENATE($AT47,$AU47,$AV47,$F47),'SKU Dist'!$E$2:$X$200,'SKU Dist'!P$1,FALSE),"")=0,"",IF($AT47&lt;&gt;"",VLOOKUP(CONCATENATE($AT47,$AU47,$AV47,$F47),'SKU Dist'!$E$2:$X$200,'SKU Dist'!P$1,FALSE),""))</f>
        <v/>
      </c>
      <c r="W47" s="389" t="str">
        <f>IF(IF($AT47&lt;&gt;"",VLOOKUP(CONCATENATE($AT47,$AU47,$AV47,$F47),'SKU Dist'!$E$2:$X$200,'SKU Dist'!Q$1,FALSE),"")=0,"",IF($AT47&lt;&gt;"",VLOOKUP(CONCATENATE($AT47,$AU47,$AV47,$F47),'SKU Dist'!$E$2:$X$200,'SKU Dist'!Q$1,FALSE),""))</f>
        <v/>
      </c>
      <c r="X47" s="389" t="str">
        <f>IF(IF($AT47&lt;&gt;"",VLOOKUP(CONCATENATE($AT47,$AU47,$AV47,$F47),'SKU Dist'!$E$2:$X$200,'SKU Dist'!R$1,FALSE),"")=0,"",IF($AT47&lt;&gt;"",VLOOKUP(CONCATENATE($AT47,$AU47,$AV47,$F47),'SKU Dist'!$E$2:$X$200,'SKU Dist'!R$1,FALSE),""))</f>
        <v/>
      </c>
      <c r="Y47" s="389" t="str">
        <f>IF(IF($AT47&lt;&gt;"",VLOOKUP(CONCATENATE($AT47,$AU47,$AV47,$F47),'SKU Dist'!$E$2:$X$200,'SKU Dist'!S$1,FALSE),"")=0,"",IF($AT47&lt;&gt;"",VLOOKUP(CONCATENATE($AT47,$AU47,$AV47,$F47),'SKU Dist'!$E$2:$X$200,'SKU Dist'!S$1,FALSE),""))</f>
        <v/>
      </c>
      <c r="Z47" s="389" t="str">
        <f>IF(IF($AT47&lt;&gt;"",VLOOKUP(CONCATENATE($AT47,$AU47,$AV47,$F47),'SKU Dist'!$E$2:$X$200,'SKU Dist'!T$1,FALSE),"")=0,"",IF($AT47&lt;&gt;"",VLOOKUP(CONCATENATE($AT47,$AU47,$AV47,$F47),'SKU Dist'!$E$2:$X$200,'SKU Dist'!T$1,FALSE),""))</f>
        <v/>
      </c>
      <c r="AA47" s="389" t="str">
        <f>IF(IF($AT47&lt;&gt;"",VLOOKUP(CONCATENATE($AT47,$AU47,$AV47,$F47),'SKU Dist'!$E$2:$X$200,'SKU Dist'!U$1,FALSE),"")=0,"",IF($AT47&lt;&gt;"",VLOOKUP(CONCATENATE($AT47,$AU47,$AV47,$F47),'SKU Dist'!$E$2:$X$200,'SKU Dist'!U$1,FALSE),""))</f>
        <v/>
      </c>
      <c r="AB47" s="389" t="str">
        <f>IF(IF($AT47&lt;&gt;"",VLOOKUP(CONCATENATE($AT47,$AU47,$AV47,$F47),'SKU Dist'!$E$2:$X$200,'SKU Dist'!V$1,FALSE),"")=0,"",IF($AT47&lt;&gt;"",VLOOKUP(CONCATENATE($AT47,$AU47,$AV47,$F47),'SKU Dist'!$E$2:$X$200,'SKU Dist'!V$1,FALSE),""))</f>
        <v/>
      </c>
      <c r="AC47" s="389"/>
      <c r="AD47" s="434"/>
      <c r="AE47" s="434"/>
      <c r="AF47" s="434"/>
      <c r="AG47" s="919">
        <f t="shared" si="36"/>
        <v>0</v>
      </c>
      <c r="AH47" s="817">
        <v>120</v>
      </c>
      <c r="AI47" s="943">
        <f t="shared" si="35"/>
        <v>0</v>
      </c>
      <c r="AJ47" s="926"/>
      <c r="AT47" s="222"/>
      <c r="AU47" s="206" t="s">
        <v>9</v>
      </c>
      <c r="AV47" s="152" t="s">
        <v>10</v>
      </c>
    </row>
    <row r="48" spans="1:48" ht="15.75" x14ac:dyDescent="0.25">
      <c r="A48" s="655">
        <f>SUM(AI45:AI54)</f>
        <v>0</v>
      </c>
      <c r="B48" s="1031"/>
      <c r="C48" s="857" t="s">
        <v>257</v>
      </c>
      <c r="D48" s="868" t="s">
        <v>259</v>
      </c>
      <c r="E48" s="907" t="s">
        <v>262</v>
      </c>
      <c r="F48" s="887" t="s">
        <v>68</v>
      </c>
      <c r="G48" s="641"/>
      <c r="H48" s="392"/>
      <c r="I48" s="392"/>
      <c r="J48" s="392"/>
      <c r="K48" s="392"/>
      <c r="L48" s="392" t="str">
        <f>IF(IF($AT48&lt;&gt;"",VLOOKUP(CONCATENATE($AT48,$AU48,$AV48,$F48),'SKU Dist'!$E$2:$X$200,'SKU Dist'!F$1,FALSE),"")=0,"",IF($AT48&lt;&gt;"",VLOOKUP(CONCATENATE($AT48,$AU48,$AV48,$F48),'SKU Dist'!$E$2:$X$200,'SKU Dist'!F$1,FALSE),""))</f>
        <v/>
      </c>
      <c r="M48" s="392" t="str">
        <f>IF(IF($AT48&lt;&gt;"",VLOOKUP(CONCATENATE($AT48,$AU48,$AV48,$F48),'SKU Dist'!$E$2:$X$200,'SKU Dist'!G$1,FALSE),"")=0,"",IF($AT48&lt;&gt;"",VLOOKUP(CONCATENATE($AT48,$AU48,$AV48,$F48),'SKU Dist'!$E$2:$X$200,'SKU Dist'!G$1,FALSE),""))</f>
        <v/>
      </c>
      <c r="N48" s="389" t="str">
        <f>IF(IF($AT48&lt;&gt;"",VLOOKUP(CONCATENATE($AT48,$AU48,$AV48,$F48),'SKU Dist'!$E$2:$X$200,'SKU Dist'!H$1,FALSE),"")=0,"",IF($AT48&lt;&gt;"",VLOOKUP(CONCATENATE($AT48,$AU48,$AV48,$F48),'SKU Dist'!$E$2:$X$200,'SKU Dist'!H$1,FALSE),""))</f>
        <v/>
      </c>
      <c r="O48" s="389" t="str">
        <f>IF(IF($AT48&lt;&gt;"",VLOOKUP(CONCATENATE($AT48,$AU48,$AV48,$F48),'SKU Dist'!$E$2:$X$200,'SKU Dist'!I$1,FALSE),"")=0,"",IF($AT48&lt;&gt;"",VLOOKUP(CONCATENATE($AT48,$AU48,$AV48,$F48),'SKU Dist'!$E$2:$X$200,'SKU Dist'!I$1,FALSE),""))</f>
        <v/>
      </c>
      <c r="P48" s="389" t="str">
        <f>IF(IF($AT48&lt;&gt;"",VLOOKUP(CONCATENATE($AT48,$AU48,$AV48,$F48),'SKU Dist'!$E$2:$X$200,'SKU Dist'!J$1,FALSE),"")=0,"",IF($AT48&lt;&gt;"",VLOOKUP(CONCATENATE($AT48,$AU48,$AV48,$F48),'SKU Dist'!$E$2:$X$200,'SKU Dist'!J$1,FALSE),""))</f>
        <v/>
      </c>
      <c r="Q48" s="389" t="str">
        <f>IF(IF($AT48&lt;&gt;"",VLOOKUP(CONCATENATE($AT48,$AU48,$AV48,$F48),'SKU Dist'!$E$2:$X$200,'SKU Dist'!K$1,FALSE),"")=0,"",IF($AT48&lt;&gt;"",VLOOKUP(CONCATENATE($AT48,$AU48,$AV48,$F48),'SKU Dist'!$E$2:$X$200,'SKU Dist'!K$1,FALSE),""))</f>
        <v/>
      </c>
      <c r="R48" s="389" t="str">
        <f>IF(IF($AT48&lt;&gt;"",VLOOKUP(CONCATENATE($AT48,$AU48,$AV48,$F48),'SKU Dist'!$E$2:$X$200,'SKU Dist'!L$1,FALSE),"")=0,"",IF($AT48&lt;&gt;"",VLOOKUP(CONCATENATE($AT48,$AU48,$AV48,$F48),'SKU Dist'!$E$2:$X$200,'SKU Dist'!L$1,FALSE),""))</f>
        <v/>
      </c>
      <c r="S48" s="389" t="str">
        <f>IF(IF($AT48&lt;&gt;"",VLOOKUP(CONCATENATE($AT48,$AU48,$AV48,$F48),'SKU Dist'!$E$2:$X$200,'SKU Dist'!M$1,FALSE),"")=0,"",IF($AT48&lt;&gt;"",VLOOKUP(CONCATENATE($AT48,$AU48,$AV48,$F48),'SKU Dist'!$E$2:$X$200,'SKU Dist'!M$1,FALSE),""))</f>
        <v/>
      </c>
      <c r="T48" s="389" t="str">
        <f>IF(IF($AT48&lt;&gt;"",VLOOKUP(CONCATENATE($AT48,$AU48,$AV48,$F48),'SKU Dist'!$E$2:$X$200,'SKU Dist'!N$1,FALSE),"")=0,"",IF($AT48&lt;&gt;"",VLOOKUP(CONCATENATE($AT48,$AU48,$AV48,$F48),'SKU Dist'!$E$2:$X$200,'SKU Dist'!N$1,FALSE),""))</f>
        <v/>
      </c>
      <c r="U48" s="389" t="str">
        <f>IF(IF($AT48&lt;&gt;"",VLOOKUP(CONCATENATE($AT48,$AU48,$AV48,$F48),'SKU Dist'!$E$2:$X$200,'SKU Dist'!O$1,FALSE),"")=0,"",IF($AT48&lt;&gt;"",VLOOKUP(CONCATENATE($AT48,$AU48,$AV48,$F48),'SKU Dist'!$E$2:$X$200,'SKU Dist'!O$1,FALSE),""))</f>
        <v/>
      </c>
      <c r="V48" s="389" t="str">
        <f>IF(IF($AT48&lt;&gt;"",VLOOKUP(CONCATENATE($AT48,$AU48,$AV48,$F48),'SKU Dist'!$E$2:$X$200,'SKU Dist'!P$1,FALSE),"")=0,"",IF($AT48&lt;&gt;"",VLOOKUP(CONCATENATE($AT48,$AU48,$AV48,$F48),'SKU Dist'!$E$2:$X$200,'SKU Dist'!P$1,FALSE),""))</f>
        <v/>
      </c>
      <c r="W48" s="389" t="str">
        <f>IF(IF($AT48&lt;&gt;"",VLOOKUP(CONCATENATE($AT48,$AU48,$AV48,$F48),'SKU Dist'!$E$2:$X$200,'SKU Dist'!Q$1,FALSE),"")=0,"",IF($AT48&lt;&gt;"",VLOOKUP(CONCATENATE($AT48,$AU48,$AV48,$F48),'SKU Dist'!$E$2:$X$200,'SKU Dist'!Q$1,FALSE),""))</f>
        <v/>
      </c>
      <c r="X48" s="389" t="str">
        <f>IF(IF($AT48&lt;&gt;"",VLOOKUP(CONCATENATE($AT48,$AU48,$AV48,$F48),'SKU Dist'!$E$2:$X$200,'SKU Dist'!R$1,FALSE),"")=0,"",IF($AT48&lt;&gt;"",VLOOKUP(CONCATENATE($AT48,$AU48,$AV48,$F48),'SKU Dist'!$E$2:$X$200,'SKU Dist'!R$1,FALSE),""))</f>
        <v/>
      </c>
      <c r="Y48" s="389" t="str">
        <f>IF(IF($AT48&lt;&gt;"",VLOOKUP(CONCATENATE($AT48,$AU48,$AV48,$F48),'SKU Dist'!$E$2:$X$200,'SKU Dist'!S$1,FALSE),"")=0,"",IF($AT48&lt;&gt;"",VLOOKUP(CONCATENATE($AT48,$AU48,$AV48,$F48),'SKU Dist'!$E$2:$X$200,'SKU Dist'!S$1,FALSE),""))</f>
        <v/>
      </c>
      <c r="Z48" s="389" t="str">
        <f>IF(IF($AT48&lt;&gt;"",VLOOKUP(CONCATENATE($AT48,$AU48,$AV48,$F48),'SKU Dist'!$E$2:$X$200,'SKU Dist'!T$1,FALSE),"")=0,"",IF($AT48&lt;&gt;"",VLOOKUP(CONCATENATE($AT48,$AU48,$AV48,$F48),'SKU Dist'!$E$2:$X$200,'SKU Dist'!T$1,FALSE),""))</f>
        <v/>
      </c>
      <c r="AA48" s="389" t="str">
        <f>IF(IF($AT48&lt;&gt;"",VLOOKUP(CONCATENATE($AT48,$AU48,$AV48,$F48),'SKU Dist'!$E$2:$X$200,'SKU Dist'!U$1,FALSE),"")=0,"",IF($AT48&lt;&gt;"",VLOOKUP(CONCATENATE($AT48,$AU48,$AV48,$F48),'SKU Dist'!$E$2:$X$200,'SKU Dist'!U$1,FALSE),""))</f>
        <v/>
      </c>
      <c r="AB48" s="389" t="str">
        <f>IF(IF($AT48&lt;&gt;"",VLOOKUP(CONCATENATE($AT48,$AU48,$AV48,$F48),'SKU Dist'!$E$2:$X$200,'SKU Dist'!V$1,FALSE),"")=0,"",IF($AT48&lt;&gt;"",VLOOKUP(CONCATENATE($AT48,$AU48,$AV48,$F48),'SKU Dist'!$E$2:$X$200,'SKU Dist'!V$1,FALSE),""))</f>
        <v/>
      </c>
      <c r="AC48" s="390" t="str">
        <f>IF(IF($AT48&lt;&gt;"",VLOOKUP(CONCATENATE($AT48,$AU48,$AV48,$F48),'SKU Dist'!$E$2:$X$200,'SKU Dist'!W$1,FALSE),"")=0,"",IF($AT48&lt;&gt;"",VLOOKUP(CONCATENATE($AT48,$AU48,$AV48,$F48),'SKU Dist'!$E$2:$X$200,'SKU Dist'!W$1,FALSE),""))</f>
        <v/>
      </c>
      <c r="AD48" s="390" t="str">
        <f>IF(IF($AT48&lt;&gt;"",VLOOKUP(CONCATENATE($AT48,$AU48,$AV48,$F48),'SKU Dist'!$E$2:$X$200,'SKU Dist'!X$1,FALSE),"")=0,"",IF($AT48&lt;&gt;"",VLOOKUP(CONCATENATE($AT48,$AU48,$AV48,$F48),'SKU Dist'!$E$2:$X$200,'SKU Dist'!X$1,FALSE),""))</f>
        <v/>
      </c>
      <c r="AE48" s="390"/>
      <c r="AF48" s="390"/>
      <c r="AG48" s="919">
        <f t="shared" ref="AG48" si="37">SUM(G48:AF48)</f>
        <v>0</v>
      </c>
      <c r="AH48" s="817">
        <v>120</v>
      </c>
      <c r="AI48" s="943">
        <f t="shared" si="35"/>
        <v>0</v>
      </c>
      <c r="AJ48" s="926"/>
      <c r="AT48" s="222"/>
      <c r="AU48" s="206" t="s">
        <v>9</v>
      </c>
      <c r="AV48" s="152" t="s">
        <v>10</v>
      </c>
    </row>
    <row r="49" spans="1:48" ht="15.75" x14ac:dyDescent="0.25">
      <c r="A49" s="654"/>
      <c r="B49" s="1029"/>
      <c r="C49" s="861" t="s">
        <v>257</v>
      </c>
      <c r="D49" s="873" t="s">
        <v>259</v>
      </c>
      <c r="E49" s="900" t="s">
        <v>263</v>
      </c>
      <c r="F49" s="898" t="s">
        <v>35</v>
      </c>
      <c r="G49" s="643"/>
      <c r="H49" s="433"/>
      <c r="I49" s="433"/>
      <c r="J49" s="433"/>
      <c r="K49" s="433"/>
      <c r="L49" s="433" t="str">
        <f>IF(IF($AT49&lt;&gt;"",VLOOKUP(CONCATENATE($AT49,$AU49,$AV49,$F49),'SKU Dist'!$E$2:$X$200,'SKU Dist'!F$1,FALSE),"")=0,"",IF($AT49&lt;&gt;"",VLOOKUP(CONCATENATE($AT49,$AU49,$AV49,$F49),'SKU Dist'!$E$2:$X$200,'SKU Dist'!F$1,FALSE),""))</f>
        <v/>
      </c>
      <c r="M49" s="433" t="str">
        <f>IF(IF($AT49&lt;&gt;"",VLOOKUP(CONCATENATE($AT49,$AU49,$AV49,$F49),'SKU Dist'!$E$2:$X$200,'SKU Dist'!G$1,FALSE),"")=0,"",IF($AT49&lt;&gt;"",VLOOKUP(CONCATENATE($AT49,$AU49,$AV49,$F49),'SKU Dist'!$E$2:$X$200,'SKU Dist'!G$1,FALSE),""))</f>
        <v/>
      </c>
      <c r="N49" s="635" t="str">
        <f>IF(IF($AT49&lt;&gt;"",VLOOKUP(CONCATENATE($AT49,$AU49,$AV49,$F49),'SKU Dist'!$E$2:$X$200,'SKU Dist'!H$1,FALSE),"")=0,"",IF($AT49&lt;&gt;"",VLOOKUP(CONCATENATE($AT49,$AU49,$AV49,$F49),'SKU Dist'!$E$2:$X$200,'SKU Dist'!H$1,FALSE),""))</f>
        <v/>
      </c>
      <c r="O49" s="635" t="str">
        <f>IF(IF($AT49&lt;&gt;"",VLOOKUP(CONCATENATE($AT49,$AU49,$AV49,$F49),'SKU Dist'!$E$2:$X$200,'SKU Dist'!I$1,FALSE),"")=0,"",IF($AT49&lt;&gt;"",VLOOKUP(CONCATENATE($AT49,$AU49,$AV49,$F49),'SKU Dist'!$E$2:$X$200,'SKU Dist'!I$1,FALSE),""))</f>
        <v/>
      </c>
      <c r="P49" s="635" t="str">
        <f>IF(IF($AT49&lt;&gt;"",VLOOKUP(CONCATENATE($AT49,$AU49,$AV49,$F49),'SKU Dist'!$E$2:$X$200,'SKU Dist'!J$1,FALSE),"")=0,"",IF($AT49&lt;&gt;"",VLOOKUP(CONCATENATE($AT49,$AU49,$AV49,$F49),'SKU Dist'!$E$2:$X$200,'SKU Dist'!J$1,FALSE),""))</f>
        <v/>
      </c>
      <c r="Q49" s="635" t="str">
        <f>IF(IF($AT49&lt;&gt;"",VLOOKUP(CONCATENATE($AT49,$AU49,$AV49,$F49),'SKU Dist'!$E$2:$X$200,'SKU Dist'!K$1,FALSE),"")=0,"",IF($AT49&lt;&gt;"",VLOOKUP(CONCATENATE($AT49,$AU49,$AV49,$F49),'SKU Dist'!$E$2:$X$200,'SKU Dist'!K$1,FALSE),""))</f>
        <v/>
      </c>
      <c r="R49" s="635" t="str">
        <f>IF(IF($AT49&lt;&gt;"",VLOOKUP(CONCATENATE($AT49,$AU49,$AV49,$F49),'SKU Dist'!$E$2:$X$200,'SKU Dist'!L$1,FALSE),"")=0,"",IF($AT49&lt;&gt;"",VLOOKUP(CONCATENATE($AT49,$AU49,$AV49,$F49),'SKU Dist'!$E$2:$X$200,'SKU Dist'!L$1,FALSE),""))</f>
        <v/>
      </c>
      <c r="S49" s="635" t="str">
        <f>IF(IF($AT49&lt;&gt;"",VLOOKUP(CONCATENATE($AT49,$AU49,$AV49,$F49),'SKU Dist'!$E$2:$X$200,'SKU Dist'!M$1,FALSE),"")=0,"",IF($AT49&lt;&gt;"",VLOOKUP(CONCATENATE($AT49,$AU49,$AV49,$F49),'SKU Dist'!$E$2:$X$200,'SKU Dist'!M$1,FALSE),""))</f>
        <v/>
      </c>
      <c r="T49" s="635" t="str">
        <f>IF(IF($AT49&lt;&gt;"",VLOOKUP(CONCATENATE($AT49,$AU49,$AV49,$F49),'SKU Dist'!$E$2:$X$200,'SKU Dist'!N$1,FALSE),"")=0,"",IF($AT49&lt;&gt;"",VLOOKUP(CONCATENATE($AT49,$AU49,$AV49,$F49),'SKU Dist'!$E$2:$X$200,'SKU Dist'!N$1,FALSE),""))</f>
        <v/>
      </c>
      <c r="U49" s="635" t="str">
        <f>IF(IF($AT49&lt;&gt;"",VLOOKUP(CONCATENATE($AT49,$AU49,$AV49,$F49),'SKU Dist'!$E$2:$X$200,'SKU Dist'!O$1,FALSE),"")=0,"",IF($AT49&lt;&gt;"",VLOOKUP(CONCATENATE($AT49,$AU49,$AV49,$F49),'SKU Dist'!$E$2:$X$200,'SKU Dist'!O$1,FALSE),""))</f>
        <v/>
      </c>
      <c r="V49" s="635" t="str">
        <f>IF(IF($AT49&lt;&gt;"",VLOOKUP(CONCATENATE($AT49,$AU49,$AV49,$F49),'SKU Dist'!$E$2:$X$200,'SKU Dist'!P$1,FALSE),"")=0,"",IF($AT49&lt;&gt;"",VLOOKUP(CONCATENATE($AT49,$AU49,$AV49,$F49),'SKU Dist'!$E$2:$X$200,'SKU Dist'!P$1,FALSE),""))</f>
        <v/>
      </c>
      <c r="W49" s="635" t="str">
        <f>IF(IF($AT49&lt;&gt;"",VLOOKUP(CONCATENATE($AT49,$AU49,$AV49,$F49),'SKU Dist'!$E$2:$X$200,'SKU Dist'!Q$1,FALSE),"")=0,"",IF($AT49&lt;&gt;"",VLOOKUP(CONCATENATE($AT49,$AU49,$AV49,$F49),'SKU Dist'!$E$2:$X$200,'SKU Dist'!Q$1,FALSE),""))</f>
        <v/>
      </c>
      <c r="X49" s="635" t="str">
        <f>IF(IF($AT49&lt;&gt;"",VLOOKUP(CONCATENATE($AT49,$AU49,$AV49,$F49),'SKU Dist'!$E$2:$X$200,'SKU Dist'!R$1,FALSE),"")=0,"",IF($AT49&lt;&gt;"",VLOOKUP(CONCATENATE($AT49,$AU49,$AV49,$F49),'SKU Dist'!$E$2:$X$200,'SKU Dist'!R$1,FALSE),""))</f>
        <v/>
      </c>
      <c r="Y49" s="635" t="str">
        <f>IF(IF($AT49&lt;&gt;"",VLOOKUP(CONCATENATE($AT49,$AU49,$AV49,$F49),'SKU Dist'!$E$2:$X$200,'SKU Dist'!S$1,FALSE),"")=0,"",IF($AT49&lt;&gt;"",VLOOKUP(CONCATENATE($AT49,$AU49,$AV49,$F49),'SKU Dist'!$E$2:$X$200,'SKU Dist'!S$1,FALSE),""))</f>
        <v/>
      </c>
      <c r="Z49" s="635" t="str">
        <f>IF(IF($AT49&lt;&gt;"",VLOOKUP(CONCATENATE($AT49,$AU49,$AV49,$F49),'SKU Dist'!$E$2:$X$200,'SKU Dist'!T$1,FALSE),"")=0,"",IF($AT49&lt;&gt;"",VLOOKUP(CONCATENATE($AT49,$AU49,$AV49,$F49),'SKU Dist'!$E$2:$X$200,'SKU Dist'!T$1,FALSE),""))</f>
        <v/>
      </c>
      <c r="AA49" s="635" t="str">
        <f>IF(IF($AT49&lt;&gt;"",VLOOKUP(CONCATENATE($AT49,$AU49,$AV49,$F49),'SKU Dist'!$E$2:$X$200,'SKU Dist'!U$1,FALSE),"")=0,"",IF($AT49&lt;&gt;"",VLOOKUP(CONCATENATE($AT49,$AU49,$AV49,$F49),'SKU Dist'!$E$2:$X$200,'SKU Dist'!U$1,FALSE),""))</f>
        <v/>
      </c>
      <c r="AB49" s="635"/>
      <c r="AC49" s="635"/>
      <c r="AD49" s="434"/>
      <c r="AE49" s="434"/>
      <c r="AF49" s="434"/>
      <c r="AG49" s="803">
        <f t="shared" ref="AG49" si="38">SUM(G49:AF49)</f>
        <v>0</v>
      </c>
      <c r="AH49" s="814">
        <v>125</v>
      </c>
      <c r="AI49" s="948">
        <f t="shared" si="35"/>
        <v>0</v>
      </c>
      <c r="AJ49" s="931"/>
      <c r="AT49" s="222"/>
      <c r="AU49" s="206" t="s">
        <v>9</v>
      </c>
      <c r="AV49" s="152" t="s">
        <v>10</v>
      </c>
    </row>
    <row r="50" spans="1:48" ht="15.75" x14ac:dyDescent="0.25">
      <c r="A50" s="655"/>
      <c r="B50" s="1029"/>
      <c r="C50" s="861" t="s">
        <v>257</v>
      </c>
      <c r="D50" s="873" t="s">
        <v>259</v>
      </c>
      <c r="E50" s="900" t="s">
        <v>263</v>
      </c>
      <c r="F50" s="898" t="s">
        <v>68</v>
      </c>
      <c r="G50" s="641"/>
      <c r="H50" s="392"/>
      <c r="I50" s="392"/>
      <c r="J50" s="392"/>
      <c r="K50" s="392"/>
      <c r="L50" s="392" t="str">
        <f>IF(IF($AT50&lt;&gt;"",VLOOKUP(CONCATENATE($AT50,$AU50,$AV50,$F50),'SKU Dist'!$E$2:$X$200,'SKU Dist'!F$1,FALSE),"")=0,"",IF($AT50&lt;&gt;"",VLOOKUP(CONCATENATE($AT50,$AU50,$AV50,$F50),'SKU Dist'!$E$2:$X$200,'SKU Dist'!F$1,FALSE),""))</f>
        <v/>
      </c>
      <c r="M50" s="392" t="str">
        <f>IF(IF($AT50&lt;&gt;"",VLOOKUP(CONCATENATE($AT50,$AU50,$AV50,$F50),'SKU Dist'!$E$2:$X$200,'SKU Dist'!G$1,FALSE),"")=0,"",IF($AT50&lt;&gt;"",VLOOKUP(CONCATENATE($AT50,$AU50,$AV50,$F50),'SKU Dist'!$E$2:$X$200,'SKU Dist'!G$1,FALSE),""))</f>
        <v/>
      </c>
      <c r="N50" s="635" t="str">
        <f>IF(IF($AT50&lt;&gt;"",VLOOKUP(CONCATENATE($AT50,$AU50,$AV50,$F50),'SKU Dist'!$E$2:$X$200,'SKU Dist'!H$1,FALSE),"")=0,"",IF($AT50&lt;&gt;"",VLOOKUP(CONCATENATE($AT50,$AU50,$AV50,$F50),'SKU Dist'!$E$2:$X$200,'SKU Dist'!H$1,FALSE),""))</f>
        <v/>
      </c>
      <c r="O50" s="635" t="str">
        <f>IF(IF($AT50&lt;&gt;"",VLOOKUP(CONCATENATE($AT50,$AU50,$AV50,$F50),'SKU Dist'!$E$2:$X$200,'SKU Dist'!I$1,FALSE),"")=0,"",IF($AT50&lt;&gt;"",VLOOKUP(CONCATENATE($AT50,$AU50,$AV50,$F50),'SKU Dist'!$E$2:$X$200,'SKU Dist'!I$1,FALSE),""))</f>
        <v/>
      </c>
      <c r="P50" s="635" t="str">
        <f>IF(IF($AT50&lt;&gt;"",VLOOKUP(CONCATENATE($AT50,$AU50,$AV50,$F50),'SKU Dist'!$E$2:$X$200,'SKU Dist'!J$1,FALSE),"")=0,"",IF($AT50&lt;&gt;"",VLOOKUP(CONCATENATE($AT50,$AU50,$AV50,$F50),'SKU Dist'!$E$2:$X$200,'SKU Dist'!J$1,FALSE),""))</f>
        <v/>
      </c>
      <c r="Q50" s="635" t="str">
        <f>IF(IF($AT50&lt;&gt;"",VLOOKUP(CONCATENATE($AT50,$AU50,$AV50,$F50),'SKU Dist'!$E$2:$X$200,'SKU Dist'!K$1,FALSE),"")=0,"",IF($AT50&lt;&gt;"",VLOOKUP(CONCATENATE($AT50,$AU50,$AV50,$F50),'SKU Dist'!$E$2:$X$200,'SKU Dist'!K$1,FALSE),""))</f>
        <v/>
      </c>
      <c r="R50" s="635" t="str">
        <f>IF(IF($AT50&lt;&gt;"",VLOOKUP(CONCATENATE($AT50,$AU50,$AV50,$F50),'SKU Dist'!$E$2:$X$200,'SKU Dist'!L$1,FALSE),"")=0,"",IF($AT50&lt;&gt;"",VLOOKUP(CONCATENATE($AT50,$AU50,$AV50,$F50),'SKU Dist'!$E$2:$X$200,'SKU Dist'!L$1,FALSE),""))</f>
        <v/>
      </c>
      <c r="S50" s="635" t="str">
        <f>IF(IF($AT50&lt;&gt;"",VLOOKUP(CONCATENATE($AT50,$AU50,$AV50,$F50),'SKU Dist'!$E$2:$X$200,'SKU Dist'!M$1,FALSE),"")=0,"",IF($AT50&lt;&gt;"",VLOOKUP(CONCATENATE($AT50,$AU50,$AV50,$F50),'SKU Dist'!$E$2:$X$200,'SKU Dist'!M$1,FALSE),""))</f>
        <v/>
      </c>
      <c r="T50" s="635" t="str">
        <f>IF(IF($AT50&lt;&gt;"",VLOOKUP(CONCATENATE($AT50,$AU50,$AV50,$F50),'SKU Dist'!$E$2:$X$200,'SKU Dist'!N$1,FALSE),"")=0,"",IF($AT50&lt;&gt;"",VLOOKUP(CONCATENATE($AT50,$AU50,$AV50,$F50),'SKU Dist'!$E$2:$X$200,'SKU Dist'!N$1,FALSE),""))</f>
        <v/>
      </c>
      <c r="U50" s="635" t="str">
        <f>IF(IF($AT50&lt;&gt;"",VLOOKUP(CONCATENATE($AT50,$AU50,$AV50,$F50),'SKU Dist'!$E$2:$X$200,'SKU Dist'!O$1,FALSE),"")=0,"",IF($AT50&lt;&gt;"",VLOOKUP(CONCATENATE($AT50,$AU50,$AV50,$F50),'SKU Dist'!$E$2:$X$200,'SKU Dist'!O$1,FALSE),""))</f>
        <v/>
      </c>
      <c r="V50" s="635" t="str">
        <f>IF(IF($AT50&lt;&gt;"",VLOOKUP(CONCATENATE($AT50,$AU50,$AV50,$F50),'SKU Dist'!$E$2:$X$200,'SKU Dist'!P$1,FALSE),"")=0,"",IF($AT50&lt;&gt;"",VLOOKUP(CONCATENATE($AT50,$AU50,$AV50,$F50),'SKU Dist'!$E$2:$X$200,'SKU Dist'!P$1,FALSE),""))</f>
        <v/>
      </c>
      <c r="W50" s="635" t="str">
        <f>IF(IF($AT50&lt;&gt;"",VLOOKUP(CONCATENATE($AT50,$AU50,$AV50,$F50),'SKU Dist'!$E$2:$X$200,'SKU Dist'!Q$1,FALSE),"")=0,"",IF($AT50&lt;&gt;"",VLOOKUP(CONCATENATE($AT50,$AU50,$AV50,$F50),'SKU Dist'!$E$2:$X$200,'SKU Dist'!Q$1,FALSE),""))</f>
        <v/>
      </c>
      <c r="X50" s="635" t="str">
        <f>IF(IF($AT50&lt;&gt;"",VLOOKUP(CONCATENATE($AT50,$AU50,$AV50,$F50),'SKU Dist'!$E$2:$X$200,'SKU Dist'!R$1,FALSE),"")=0,"",IF($AT50&lt;&gt;"",VLOOKUP(CONCATENATE($AT50,$AU50,$AV50,$F50),'SKU Dist'!$E$2:$X$200,'SKU Dist'!R$1,FALSE),""))</f>
        <v/>
      </c>
      <c r="Y50" s="635" t="str">
        <f>IF(IF($AT50&lt;&gt;"",VLOOKUP(CONCATENATE($AT50,$AU50,$AV50,$F50),'SKU Dist'!$E$2:$X$200,'SKU Dist'!S$1,FALSE),"")=0,"",IF($AT50&lt;&gt;"",VLOOKUP(CONCATENATE($AT50,$AU50,$AV50,$F50),'SKU Dist'!$E$2:$X$200,'SKU Dist'!S$1,FALSE),""))</f>
        <v/>
      </c>
      <c r="Z50" s="635" t="str">
        <f>IF(IF($AT50&lt;&gt;"",VLOOKUP(CONCATENATE($AT50,$AU50,$AV50,$F50),'SKU Dist'!$E$2:$X$200,'SKU Dist'!T$1,FALSE),"")=0,"",IF($AT50&lt;&gt;"",VLOOKUP(CONCATENATE($AT50,$AU50,$AV50,$F50),'SKU Dist'!$E$2:$X$200,'SKU Dist'!T$1,FALSE),""))</f>
        <v/>
      </c>
      <c r="AA50" s="635" t="str">
        <f>IF(IF($AT50&lt;&gt;"",VLOOKUP(CONCATENATE($AT50,$AU50,$AV50,$F50),'SKU Dist'!$E$2:$X$200,'SKU Dist'!U$1,FALSE),"")=0,"",IF($AT50&lt;&gt;"",VLOOKUP(CONCATENATE($AT50,$AU50,$AV50,$F50),'SKU Dist'!$E$2:$X$200,'SKU Dist'!U$1,FALSE),""))</f>
        <v/>
      </c>
      <c r="AB50" s="635"/>
      <c r="AC50" s="390"/>
      <c r="AD50" s="390"/>
      <c r="AE50" s="390"/>
      <c r="AF50" s="390"/>
      <c r="AG50" s="803">
        <f t="shared" ref="AG50" si="39">SUM(G50:AF50)</f>
        <v>0</v>
      </c>
      <c r="AH50" s="814">
        <v>125</v>
      </c>
      <c r="AI50" s="948">
        <f t="shared" si="35"/>
        <v>0</v>
      </c>
      <c r="AJ50" s="931"/>
      <c r="AT50" s="222"/>
      <c r="AU50" s="206" t="s">
        <v>9</v>
      </c>
      <c r="AV50" s="152" t="s">
        <v>10</v>
      </c>
    </row>
    <row r="51" spans="1:48" ht="15.75" x14ac:dyDescent="0.25">
      <c r="A51" s="654"/>
      <c r="B51" s="1031"/>
      <c r="C51" s="857" t="s">
        <v>257</v>
      </c>
      <c r="D51" s="868" t="s">
        <v>259</v>
      </c>
      <c r="E51" s="907" t="s">
        <v>264</v>
      </c>
      <c r="F51" s="887" t="s">
        <v>35</v>
      </c>
      <c r="G51" s="643"/>
      <c r="H51" s="433"/>
      <c r="I51" s="433"/>
      <c r="J51" s="433"/>
      <c r="K51" s="433"/>
      <c r="L51" s="433"/>
      <c r="M51" s="433"/>
      <c r="N51" s="389" t="str">
        <f>IF(IF($AT51&lt;&gt;"",VLOOKUP(CONCATENATE($AT51,$AU51,$AV51,$F51),'SKU Dist'!$E$2:$X$200,'SKU Dist'!H$1,FALSE),"")=0,"",IF($AT51&lt;&gt;"",VLOOKUP(CONCATENATE($AT51,$AU51,$AV51,$F51),'SKU Dist'!$E$2:$X$200,'SKU Dist'!H$1,FALSE),""))</f>
        <v/>
      </c>
      <c r="O51" s="389" t="str">
        <f>IF(IF($AT51&lt;&gt;"",VLOOKUP(CONCATENATE($AT51,$AU51,$AV51,$F51),'SKU Dist'!$E$2:$X$200,'SKU Dist'!I$1,FALSE),"")=0,"",IF($AT51&lt;&gt;"",VLOOKUP(CONCATENATE($AT51,$AU51,$AV51,$F51),'SKU Dist'!$E$2:$X$200,'SKU Dist'!I$1,FALSE),""))</f>
        <v/>
      </c>
      <c r="P51" s="389" t="str">
        <f>IF(IF($AT51&lt;&gt;"",VLOOKUP(CONCATENATE($AT51,$AU51,$AV51,$F51),'SKU Dist'!$E$2:$X$200,'SKU Dist'!J$1,FALSE),"")=0,"",IF($AT51&lt;&gt;"",VLOOKUP(CONCATENATE($AT51,$AU51,$AV51,$F51),'SKU Dist'!$E$2:$X$200,'SKU Dist'!J$1,FALSE),""))</f>
        <v/>
      </c>
      <c r="Q51" s="389" t="str">
        <f>IF(IF($AT51&lt;&gt;"",VLOOKUP(CONCATENATE($AT51,$AU51,$AV51,$F51),'SKU Dist'!$E$2:$X$200,'SKU Dist'!K$1,FALSE),"")=0,"",IF($AT51&lt;&gt;"",VLOOKUP(CONCATENATE($AT51,$AU51,$AV51,$F51),'SKU Dist'!$E$2:$X$200,'SKU Dist'!K$1,FALSE),""))</f>
        <v/>
      </c>
      <c r="R51" s="389" t="str">
        <f>IF(IF($AT51&lt;&gt;"",VLOOKUP(CONCATENATE($AT51,$AU51,$AV51,$F51),'SKU Dist'!$E$2:$X$200,'SKU Dist'!L$1,FALSE),"")=0,"",IF($AT51&lt;&gt;"",VLOOKUP(CONCATENATE($AT51,$AU51,$AV51,$F51),'SKU Dist'!$E$2:$X$200,'SKU Dist'!L$1,FALSE),""))</f>
        <v/>
      </c>
      <c r="S51" s="389" t="str">
        <f>IF(IF($AT51&lt;&gt;"",VLOOKUP(CONCATENATE($AT51,$AU51,$AV51,$F51),'SKU Dist'!$E$2:$X$200,'SKU Dist'!M$1,FALSE),"")=0,"",IF($AT51&lt;&gt;"",VLOOKUP(CONCATENATE($AT51,$AU51,$AV51,$F51),'SKU Dist'!$E$2:$X$200,'SKU Dist'!M$1,FALSE),""))</f>
        <v/>
      </c>
      <c r="T51" s="389" t="str">
        <f>IF(IF($AT51&lt;&gt;"",VLOOKUP(CONCATENATE($AT51,$AU51,$AV51,$F51),'SKU Dist'!$E$2:$X$200,'SKU Dist'!N$1,FALSE),"")=0,"",IF($AT51&lt;&gt;"",VLOOKUP(CONCATENATE($AT51,$AU51,$AV51,$F51),'SKU Dist'!$E$2:$X$200,'SKU Dist'!N$1,FALSE),""))</f>
        <v/>
      </c>
      <c r="U51" s="389" t="str">
        <f>IF(IF($AT51&lt;&gt;"",VLOOKUP(CONCATENATE($AT51,$AU51,$AV51,$F51),'SKU Dist'!$E$2:$X$200,'SKU Dist'!O$1,FALSE),"")=0,"",IF($AT51&lt;&gt;"",VLOOKUP(CONCATENATE($AT51,$AU51,$AV51,$F51),'SKU Dist'!$E$2:$X$200,'SKU Dist'!O$1,FALSE),""))</f>
        <v/>
      </c>
      <c r="V51" s="389" t="str">
        <f>IF(IF($AT51&lt;&gt;"",VLOOKUP(CONCATENATE($AT51,$AU51,$AV51,$F51),'SKU Dist'!$E$2:$X$200,'SKU Dist'!P$1,FALSE),"")=0,"",IF($AT51&lt;&gt;"",VLOOKUP(CONCATENATE($AT51,$AU51,$AV51,$F51),'SKU Dist'!$E$2:$X$200,'SKU Dist'!P$1,FALSE),""))</f>
        <v/>
      </c>
      <c r="W51" s="389" t="str">
        <f>IF(IF($AT51&lt;&gt;"",VLOOKUP(CONCATENATE($AT51,$AU51,$AV51,$F51),'SKU Dist'!$E$2:$X$200,'SKU Dist'!Q$1,FALSE),"")=0,"",IF($AT51&lt;&gt;"",VLOOKUP(CONCATENATE($AT51,$AU51,$AV51,$F51),'SKU Dist'!$E$2:$X$200,'SKU Dist'!Q$1,FALSE),""))</f>
        <v/>
      </c>
      <c r="X51" s="389" t="str">
        <f>IF(IF($AT51&lt;&gt;"",VLOOKUP(CONCATENATE($AT51,$AU51,$AV51,$F51),'SKU Dist'!$E$2:$X$200,'SKU Dist'!R$1,FALSE),"")=0,"",IF($AT51&lt;&gt;"",VLOOKUP(CONCATENATE($AT51,$AU51,$AV51,$F51),'SKU Dist'!$E$2:$X$200,'SKU Dist'!R$1,FALSE),""))</f>
        <v/>
      </c>
      <c r="Y51" s="389" t="str">
        <f>IF(IF($AT51&lt;&gt;"",VLOOKUP(CONCATENATE($AT51,$AU51,$AV51,$F51),'SKU Dist'!$E$2:$X$200,'SKU Dist'!S$1,FALSE),"")=0,"",IF($AT51&lt;&gt;"",VLOOKUP(CONCATENATE($AT51,$AU51,$AV51,$F51),'SKU Dist'!$E$2:$X$200,'SKU Dist'!S$1,FALSE),""))</f>
        <v/>
      </c>
      <c r="Z51" s="389" t="str">
        <f>IF(IF($AT51&lt;&gt;"",VLOOKUP(CONCATENATE($AT51,$AU51,$AV51,$F51),'SKU Dist'!$E$2:$X$200,'SKU Dist'!T$1,FALSE),"")=0,"",IF($AT51&lt;&gt;"",VLOOKUP(CONCATENATE($AT51,$AU51,$AV51,$F51),'SKU Dist'!$E$2:$X$200,'SKU Dist'!T$1,FALSE),""))</f>
        <v/>
      </c>
      <c r="AA51" s="389" t="str">
        <f>IF(IF($AT51&lt;&gt;"",VLOOKUP(CONCATENATE($AT51,$AU51,$AV51,$F51),'SKU Dist'!$E$2:$X$200,'SKU Dist'!U$1,FALSE),"")=0,"",IF($AT51&lt;&gt;"",VLOOKUP(CONCATENATE($AT51,$AU51,$AV51,$F51),'SKU Dist'!$E$2:$X$200,'SKU Dist'!U$1,FALSE),""))</f>
        <v/>
      </c>
      <c r="AB51" s="389" t="str">
        <f>IF(IF($AT51&lt;&gt;"",VLOOKUP(CONCATENATE($AT51,$AU51,$AV51,$F51),'SKU Dist'!$E$2:$X$200,'SKU Dist'!V$1,FALSE),"")=0,"",IF($AT51&lt;&gt;"",VLOOKUP(CONCATENATE($AT51,$AU51,$AV51,$F51),'SKU Dist'!$E$2:$X$200,'SKU Dist'!V$1,FALSE),""))</f>
        <v/>
      </c>
      <c r="AC51" s="389"/>
      <c r="AD51" s="434"/>
      <c r="AE51" s="434"/>
      <c r="AF51" s="434"/>
      <c r="AG51" s="919">
        <f t="shared" ref="AG51" si="40">SUM(G51:AF51)</f>
        <v>0</v>
      </c>
      <c r="AH51" s="817">
        <v>135</v>
      </c>
      <c r="AI51" s="943">
        <f t="shared" ref="AI51:AI52" si="41">AG51*AH51</f>
        <v>0</v>
      </c>
      <c r="AJ51" s="926"/>
      <c r="AT51" s="222"/>
      <c r="AU51" s="206" t="s">
        <v>9</v>
      </c>
      <c r="AV51" s="152" t="s">
        <v>10</v>
      </c>
    </row>
    <row r="52" spans="1:48" ht="15.75" x14ac:dyDescent="0.25">
      <c r="A52" s="655"/>
      <c r="B52" s="1031"/>
      <c r="C52" s="857" t="s">
        <v>257</v>
      </c>
      <c r="D52" s="868" t="s">
        <v>259</v>
      </c>
      <c r="E52" s="907" t="s">
        <v>264</v>
      </c>
      <c r="F52" s="887" t="s">
        <v>68</v>
      </c>
      <c r="G52" s="641"/>
      <c r="H52" s="392"/>
      <c r="I52" s="392"/>
      <c r="J52" s="392"/>
      <c r="K52" s="392"/>
      <c r="L52" s="392" t="str">
        <f>IF(IF($AT51&lt;&gt;"",VLOOKUP(CONCATENATE($AT51,$AU52,$AV52,$F52),'SKU Dist'!$E$2:$X$200,'SKU Dist'!F$1,FALSE),"")=0,"",IF($AT51&lt;&gt;"",VLOOKUP(CONCATENATE($AT51,$AU52,$AV52,$F52),'SKU Dist'!$E$2:$X$200,'SKU Dist'!F$1,FALSE),""))</f>
        <v/>
      </c>
      <c r="M52" s="392" t="str">
        <f>IF(IF($AT51&lt;&gt;"",VLOOKUP(CONCATENATE($AT51,$AU52,$AV52,$F52),'SKU Dist'!$E$2:$X$200,'SKU Dist'!G$1,FALSE),"")=0,"",IF($AT51&lt;&gt;"",VLOOKUP(CONCATENATE($AT51,$AU52,$AV52,$F52),'SKU Dist'!$E$2:$X$200,'SKU Dist'!G$1,FALSE),""))</f>
        <v/>
      </c>
      <c r="N52" s="389" t="str">
        <f>IF(IF($AT51&lt;&gt;"",VLOOKUP(CONCATENATE($AT51,$AU52,$AV52,$F52),'SKU Dist'!$E$2:$X$200,'SKU Dist'!H$1,FALSE),"")=0,"",IF($AT51&lt;&gt;"",VLOOKUP(CONCATENATE($AT51,$AU52,$AV52,$F52),'SKU Dist'!$E$2:$X$200,'SKU Dist'!H$1,FALSE),""))</f>
        <v/>
      </c>
      <c r="O52" s="389" t="str">
        <f>IF(IF($AT51&lt;&gt;"",VLOOKUP(CONCATENATE($AT51,$AU52,$AV52,$F52),'SKU Dist'!$E$2:$X$200,'SKU Dist'!I$1,FALSE),"")=0,"",IF($AT51&lt;&gt;"",VLOOKUP(CONCATENATE($AT51,$AU52,$AV52,$F52),'SKU Dist'!$E$2:$X$200,'SKU Dist'!I$1,FALSE),""))</f>
        <v/>
      </c>
      <c r="P52" s="389" t="str">
        <f>IF(IF($AT51&lt;&gt;"",VLOOKUP(CONCATENATE($AT51,$AU52,$AV52,$F52),'SKU Dist'!$E$2:$X$200,'SKU Dist'!J$1,FALSE),"")=0,"",IF($AT51&lt;&gt;"",VLOOKUP(CONCATENATE($AT51,$AU52,$AV52,$F52),'SKU Dist'!$E$2:$X$200,'SKU Dist'!J$1,FALSE),""))</f>
        <v/>
      </c>
      <c r="Q52" s="389" t="str">
        <f>IF(IF($AT51&lt;&gt;"",VLOOKUP(CONCATENATE($AT51,$AU52,$AV52,$F52),'SKU Dist'!$E$2:$X$200,'SKU Dist'!K$1,FALSE),"")=0,"",IF($AT51&lt;&gt;"",VLOOKUP(CONCATENATE($AT51,$AU52,$AV52,$F52),'SKU Dist'!$E$2:$X$200,'SKU Dist'!K$1,FALSE),""))</f>
        <v/>
      </c>
      <c r="R52" s="389" t="str">
        <f>IF(IF($AT51&lt;&gt;"",VLOOKUP(CONCATENATE($AT51,$AU52,$AV52,$F52),'SKU Dist'!$E$2:$X$200,'SKU Dist'!L$1,FALSE),"")=0,"",IF($AT51&lt;&gt;"",VLOOKUP(CONCATENATE($AT51,$AU52,$AV52,$F52),'SKU Dist'!$E$2:$X$200,'SKU Dist'!L$1,FALSE),""))</f>
        <v/>
      </c>
      <c r="S52" s="389" t="str">
        <f>IF(IF($AT51&lt;&gt;"",VLOOKUP(CONCATENATE($AT51,$AU52,$AV52,$F52),'SKU Dist'!$E$2:$X$200,'SKU Dist'!M$1,FALSE),"")=0,"",IF($AT51&lt;&gt;"",VLOOKUP(CONCATENATE($AT51,$AU52,$AV52,$F52),'SKU Dist'!$E$2:$X$200,'SKU Dist'!M$1,FALSE),""))</f>
        <v/>
      </c>
      <c r="T52" s="389" t="str">
        <f>IF(IF($AT51&lt;&gt;"",VLOOKUP(CONCATENATE($AT51,$AU52,$AV52,$F52),'SKU Dist'!$E$2:$X$200,'SKU Dist'!N$1,FALSE),"")=0,"",IF($AT51&lt;&gt;"",VLOOKUP(CONCATENATE($AT51,$AU52,$AV52,$F52),'SKU Dist'!$E$2:$X$200,'SKU Dist'!N$1,FALSE),""))</f>
        <v/>
      </c>
      <c r="U52" s="389" t="str">
        <f>IF(IF($AT51&lt;&gt;"",VLOOKUP(CONCATENATE($AT51,$AU52,$AV52,$F52),'SKU Dist'!$E$2:$X$200,'SKU Dist'!O$1,FALSE),"")=0,"",IF($AT51&lt;&gt;"",VLOOKUP(CONCATENATE($AT51,$AU52,$AV52,$F52),'SKU Dist'!$E$2:$X$200,'SKU Dist'!O$1,FALSE),""))</f>
        <v/>
      </c>
      <c r="V52" s="389" t="str">
        <f>IF(IF($AT52&lt;&gt;"",VLOOKUP(CONCATENATE($AT52,$AU52,$AV52,$F52),'SKU Dist'!$E$2:$X$200,'SKU Dist'!P$1,FALSE),"")=0,"",IF($AT52&lt;&gt;"",VLOOKUP(CONCATENATE($AT52,$AU52,$AV52,$F52),'SKU Dist'!$E$2:$X$200,'SKU Dist'!P$1,FALSE),""))</f>
        <v/>
      </c>
      <c r="W52" s="389" t="str">
        <f>IF(IF($AT51&lt;&gt;"",VLOOKUP(CONCATENATE($AT51,$AU52,$AV52,$F52),'SKU Dist'!$E$2:$X$200,'SKU Dist'!Q$1,FALSE),"")=0,"",IF($AT51&lt;&gt;"",VLOOKUP(CONCATENATE($AT51,$AU52,$AV52,$F52),'SKU Dist'!$E$2:$X$200,'SKU Dist'!Q$1,FALSE),""))</f>
        <v/>
      </c>
      <c r="X52" s="389" t="str">
        <f>IF(IF($AT51&lt;&gt;"",VLOOKUP(CONCATENATE($AT51,$AU52,$AV52,$F52),'SKU Dist'!$E$2:$X$200,'SKU Dist'!R$1,FALSE),"")=0,"",IF($AT51&lt;&gt;"",VLOOKUP(CONCATENATE($AT51,$AU52,$AV52,$F52),'SKU Dist'!$E$2:$X$200,'SKU Dist'!R$1,FALSE),""))</f>
        <v/>
      </c>
      <c r="Y52" s="389" t="str">
        <f>IF(IF($AT51&lt;&gt;"",VLOOKUP(CONCATENATE($AT51,$AU52,$AV52,$F52),'SKU Dist'!$E$2:$X$200,'SKU Dist'!S$1,FALSE),"")=0,"",IF($AT51&lt;&gt;"",VLOOKUP(CONCATENATE($AT51,$AU52,$AV52,$F52),'SKU Dist'!$E$2:$X$200,'SKU Dist'!S$1,FALSE),""))</f>
        <v/>
      </c>
      <c r="Z52" s="389" t="str">
        <f>IF(IF($AT51&lt;&gt;"",VLOOKUP(CONCATENATE($AT51,$AU52,$AV52,$F52),'SKU Dist'!$E$2:$X$200,'SKU Dist'!T$1,FALSE),"")=0,"",IF($AT51&lt;&gt;"",VLOOKUP(CONCATENATE($AT51,$AU52,$AV52,$F52),'SKU Dist'!$E$2:$X$200,'SKU Dist'!T$1,FALSE),""))</f>
        <v/>
      </c>
      <c r="AA52" s="389" t="str">
        <f>IF(IF($AT51&lt;&gt;"",VLOOKUP(CONCATENATE($AT51,$AU52,$AV52,$F52),'SKU Dist'!$E$2:$X$200,'SKU Dist'!U$1,FALSE),"")=0,"",IF($AT51&lt;&gt;"",VLOOKUP(CONCATENATE($AT51,$AU52,$AV52,$F52),'SKU Dist'!$E$2:$X$200,'SKU Dist'!U$1,FALSE),""))</f>
        <v/>
      </c>
      <c r="AB52" s="389"/>
      <c r="AC52" s="390"/>
      <c r="AD52" s="390"/>
      <c r="AE52" s="390"/>
      <c r="AF52" s="390"/>
      <c r="AG52" s="919">
        <f t="shared" ref="AG52" si="42">SUM(G52:AF52)</f>
        <v>0</v>
      </c>
      <c r="AH52" s="817">
        <v>135</v>
      </c>
      <c r="AI52" s="943">
        <f t="shared" si="41"/>
        <v>0</v>
      </c>
      <c r="AJ52" s="926"/>
      <c r="AT52" s="222"/>
      <c r="AU52" s="206" t="s">
        <v>9</v>
      </c>
      <c r="AV52" s="152" t="s">
        <v>10</v>
      </c>
    </row>
    <row r="53" spans="1:48" ht="15" x14ac:dyDescent="0.2">
      <c r="A53" s="780"/>
      <c r="B53" s="1029"/>
      <c r="C53" s="861" t="s">
        <v>257</v>
      </c>
      <c r="D53" s="873" t="s">
        <v>259</v>
      </c>
      <c r="E53" s="900" t="s">
        <v>260</v>
      </c>
      <c r="F53" s="898" t="s">
        <v>26</v>
      </c>
      <c r="G53" s="643"/>
      <c r="H53" s="433"/>
      <c r="I53" s="433"/>
      <c r="J53" s="433"/>
      <c r="K53" s="635"/>
      <c r="L53" s="635" t="str">
        <f>IF(IF($AT53&lt;&gt;"",VLOOKUP(CONCATENATE($AT53,$AU53,$AV53,$F53),'SKU Dist'!$E$2:$X$200,'SKU Dist'!F$1,FALSE),"")=0,"",IF($AT53&lt;&gt;"",VLOOKUP(CONCATENATE($AT53,$AU53,$AV53,$F53),'SKU Dist'!$E$2:$X$200,'SKU Dist'!F$1,FALSE),""))</f>
        <v/>
      </c>
      <c r="M53" s="635" t="str">
        <f>IF(IF($AT53&lt;&gt;"",VLOOKUP(CONCATENATE($AT53,$AU53,$AV53,$F53),'SKU Dist'!$E$2:$X$200,'SKU Dist'!G$1,FALSE),"")=0,"",IF($AT53&lt;&gt;"",VLOOKUP(CONCATENATE($AT53,$AU53,$AV53,$F53),'SKU Dist'!$E$2:$X$200,'SKU Dist'!G$1,FALSE),""))</f>
        <v/>
      </c>
      <c r="N53" s="635" t="str">
        <f>IF(IF($AT53&lt;&gt;"",VLOOKUP(CONCATENATE($AT53,$AU53,$AV53,$F53),'SKU Dist'!$E$2:$X$200,'SKU Dist'!H$1,FALSE),"")=0,"",IF($AT53&lt;&gt;"",VLOOKUP(CONCATENATE($AT53,$AU53,$AV53,$F53),'SKU Dist'!$E$2:$X$200,'SKU Dist'!H$1,FALSE),""))</f>
        <v/>
      </c>
      <c r="O53" s="635" t="str">
        <f>IF(IF($AT53&lt;&gt;"",VLOOKUP(CONCATENATE($AT53,$AU53,$AV53,$F53),'SKU Dist'!$E$2:$X$200,'SKU Dist'!I$1,FALSE),"")=0,"",IF($AT53&lt;&gt;"",VLOOKUP(CONCATENATE($AT53,$AU53,$AV53,$F53),'SKU Dist'!$E$2:$X$200,'SKU Dist'!I$1,FALSE),""))</f>
        <v/>
      </c>
      <c r="P53" s="635" t="str">
        <f>IF(IF($AT53&lt;&gt;"",VLOOKUP(CONCATENATE($AT53,$AU53,$AV53,$F53),'SKU Dist'!$E$2:$X$200,'SKU Dist'!J$1,FALSE),"")=0,"",IF($AT53&lt;&gt;"",VLOOKUP(CONCATENATE($AT53,$AU53,$AV53,$F53),'SKU Dist'!$E$2:$X$200,'SKU Dist'!J$1,FALSE),""))</f>
        <v/>
      </c>
      <c r="Q53" s="635" t="str">
        <f>IF(IF($AT53&lt;&gt;"",VLOOKUP(CONCATENATE($AT53,$AU53,$AV53,$F53),'SKU Dist'!$E$2:$X$200,'SKU Dist'!K$1,FALSE),"")=0,"",IF($AT53&lt;&gt;"",VLOOKUP(CONCATENATE($AT53,$AU53,$AV53,$F53),'SKU Dist'!$E$2:$X$200,'SKU Dist'!K$1,FALSE),""))</f>
        <v/>
      </c>
      <c r="R53" s="635" t="str">
        <f>IF(IF($AT53&lt;&gt;"",VLOOKUP(CONCATENATE($AT53,$AU53,$AV53,$F53),'SKU Dist'!$E$2:$X$200,'SKU Dist'!L$1,FALSE),"")=0,"",IF($AT53&lt;&gt;"",VLOOKUP(CONCATENATE($AT53,$AU53,$AV53,$F53),'SKU Dist'!$E$2:$X$200,'SKU Dist'!L$1,FALSE),""))</f>
        <v/>
      </c>
      <c r="S53" s="635" t="str">
        <f>IF(IF($AT53&lt;&gt;"",VLOOKUP(CONCATENATE($AT53,$AU53,$AV53,$F53),'SKU Dist'!$E$2:$X$200,'SKU Dist'!M$1,FALSE),"")=0,"",IF($AT53&lt;&gt;"",VLOOKUP(CONCATENATE($AT53,$AU53,$AV53,$F53),'SKU Dist'!$E$2:$X$200,'SKU Dist'!M$1,FALSE),""))</f>
        <v/>
      </c>
      <c r="T53" s="635" t="str">
        <f>IF(IF($AT53&lt;&gt;"",VLOOKUP(CONCATENATE($AT53,$AU53,$AV53,$F53),'SKU Dist'!$E$2:$X$200,'SKU Dist'!N$1,FALSE),"")=0,"",IF($AT53&lt;&gt;"",VLOOKUP(CONCATENATE($AT53,$AU53,$AV53,$F53),'SKU Dist'!$E$2:$X$200,'SKU Dist'!N$1,FALSE),""))</f>
        <v/>
      </c>
      <c r="U53" s="635" t="str">
        <f>IF(IF($AT53&lt;&gt;"",VLOOKUP(CONCATENATE($AT53,$AU53,$AV53,$F53),'SKU Dist'!$E$2:$X$200,'SKU Dist'!O$1,FALSE),"")=0,"",IF($AT53&lt;&gt;"",VLOOKUP(CONCATENATE($AT53,$AU53,$AV53,$F53),'SKU Dist'!$E$2:$X$200,'SKU Dist'!O$1,FALSE),""))</f>
        <v/>
      </c>
      <c r="V53" s="635" t="str">
        <f>IF(IF($AT53&lt;&gt;"",VLOOKUP(CONCATENATE($AT53,$AU53,$AV53,$F53),'SKU Dist'!$E$2:$X$200,'SKU Dist'!P$1,FALSE),"")=0,"",IF($AT53&lt;&gt;"",VLOOKUP(CONCATENATE($AT53,$AU53,$AV53,$F53),'SKU Dist'!$E$2:$X$200,'SKU Dist'!P$1,FALSE),""))</f>
        <v/>
      </c>
      <c r="W53" s="635" t="str">
        <f>IF(IF($AT53&lt;&gt;"",VLOOKUP(CONCATENATE($AT53,$AU53,$AV53,$F53),'SKU Dist'!$E$2:$X$200,'SKU Dist'!Q$1,FALSE),"")=0,"",IF($AT53&lt;&gt;"",VLOOKUP(CONCATENATE($AT53,$AU53,$AV53,$F53),'SKU Dist'!$E$2:$X$200,'SKU Dist'!Q$1,FALSE),""))</f>
        <v/>
      </c>
      <c r="X53" s="635" t="str">
        <f>IF(IF($AT53&lt;&gt;"",VLOOKUP(CONCATENATE($AT53,$AU53,$AV53,$F53),'SKU Dist'!$E$2:$X$200,'SKU Dist'!R$1,FALSE),"")=0,"",IF($AT53&lt;&gt;"",VLOOKUP(CONCATENATE($AT53,$AU53,$AV53,$F53),'SKU Dist'!$E$2:$X$200,'SKU Dist'!R$1,FALSE),""))</f>
        <v/>
      </c>
      <c r="Y53" s="434" t="str">
        <f>IF(IF($AT53&lt;&gt;"",VLOOKUP(CONCATENATE($AT53,$AU53,$AV53,$F53),'SKU Dist'!$E$2:$X$200,'SKU Dist'!S$1,FALSE),"")=0,"",IF($AT53&lt;&gt;"",VLOOKUP(CONCATENATE($AT53,$AU53,$AV53,$F53),'SKU Dist'!$E$2:$X$200,'SKU Dist'!S$1,FALSE),""))</f>
        <v/>
      </c>
      <c r="Z53" s="635" t="str">
        <f>IF(IF($AT53&lt;&gt;"",VLOOKUP(CONCATENATE($AT53,$AU53,$AV53,$F53),'SKU Dist'!$E$2:$X$200,'SKU Dist'!T$1,FALSE),"")=0,"",IF($AT53&lt;&gt;"",VLOOKUP(CONCATENATE($AT53,$AU53,$AV53,$F53),'SKU Dist'!$E$2:$X$200,'SKU Dist'!T$1,FALSE),""))</f>
        <v/>
      </c>
      <c r="AA53" s="390" t="str">
        <f>IF(IF($AT53&lt;&gt;"",VLOOKUP(CONCATENATE($AT53,$AU53,$AV53,$F53),'SKU Dist'!$E$2:$X$200,'SKU Dist'!U$1,FALSE),"")=0,"",IF($AT53&lt;&gt;"",VLOOKUP(CONCATENATE($AT53,$AU53,$AV53,$F53),'SKU Dist'!$E$2:$X$200,'SKU Dist'!U$1,FALSE),""))</f>
        <v/>
      </c>
      <c r="AB53" s="390"/>
      <c r="AC53" s="390"/>
      <c r="AD53" s="390"/>
      <c r="AE53" s="434"/>
      <c r="AF53" s="434"/>
      <c r="AG53" s="803">
        <f t="shared" ref="AG53:AG54" si="43">SUM(G53:AF53)</f>
        <v>0</v>
      </c>
      <c r="AH53" s="814">
        <v>120</v>
      </c>
      <c r="AI53" s="948">
        <f t="shared" si="35"/>
        <v>0</v>
      </c>
      <c r="AJ53" s="931"/>
      <c r="AT53" s="222"/>
      <c r="AU53" s="206" t="s">
        <v>9</v>
      </c>
      <c r="AV53" s="152" t="s">
        <v>17</v>
      </c>
    </row>
    <row r="54" spans="1:48" ht="15.75" thickBot="1" x14ac:dyDescent="0.25">
      <c r="A54" s="789"/>
      <c r="B54" s="1034"/>
      <c r="C54" s="862" t="s">
        <v>257</v>
      </c>
      <c r="D54" s="874" t="s">
        <v>259</v>
      </c>
      <c r="E54" s="901" t="s">
        <v>260</v>
      </c>
      <c r="F54" s="902" t="s">
        <v>35</v>
      </c>
      <c r="G54" s="880"/>
      <c r="H54" s="393"/>
      <c r="I54" s="393"/>
      <c r="J54" s="393"/>
      <c r="K54" s="636"/>
      <c r="L54" s="636" t="str">
        <f>IF(IF($AT54&lt;&gt;"",VLOOKUP(CONCATENATE($AT54,$AU54,$AV54,$F54),'SKU Dist'!$E$2:$X$200,'SKU Dist'!F$1,FALSE),"")=0,"",IF($AT54&lt;&gt;"",VLOOKUP(CONCATENATE($AT54,$AU54,$AV54,$F54),'SKU Dist'!$E$2:$X$200,'SKU Dist'!F$1,FALSE),""))</f>
        <v/>
      </c>
      <c r="M54" s="636" t="str">
        <f>IF(IF($AT54&lt;&gt;"",VLOOKUP(CONCATENATE($AT54,$AU54,$AV54,$F54),'SKU Dist'!$E$2:$X$200,'SKU Dist'!G$1,FALSE),"")=0,"",IF($AT54&lt;&gt;"",VLOOKUP(CONCATENATE($AT54,$AU54,$AV54,$F54),'SKU Dist'!$E$2:$X$200,'SKU Dist'!G$1,FALSE),""))</f>
        <v/>
      </c>
      <c r="N54" s="636" t="str">
        <f>IF(IF($AT54&lt;&gt;"",VLOOKUP(CONCATENATE($AT54,$AU54,$AV54,$F54),'SKU Dist'!$E$2:$X$200,'SKU Dist'!H$1,FALSE),"")=0,"",IF($AT54&lt;&gt;"",VLOOKUP(CONCATENATE($AT54,$AU54,$AV54,$F54),'SKU Dist'!$E$2:$X$200,'SKU Dist'!H$1,FALSE),""))</f>
        <v/>
      </c>
      <c r="O54" s="636" t="str">
        <f>IF(IF($AT54&lt;&gt;"",VLOOKUP(CONCATENATE($AT54,$AU54,$AV54,$F54),'SKU Dist'!$E$2:$X$200,'SKU Dist'!I$1,FALSE),"")=0,"",IF($AT54&lt;&gt;"",VLOOKUP(CONCATENATE($AT54,$AU54,$AV54,$F54),'SKU Dist'!$E$2:$X$200,'SKU Dist'!I$1,FALSE),""))</f>
        <v/>
      </c>
      <c r="P54" s="636" t="str">
        <f>IF(IF($AT54&lt;&gt;"",VLOOKUP(CONCATENATE($AT54,$AU54,$AV54,$F54),'SKU Dist'!$E$2:$X$200,'SKU Dist'!J$1,FALSE),"")=0,"",IF($AT54&lt;&gt;"",VLOOKUP(CONCATENATE($AT54,$AU54,$AV54,$F54),'SKU Dist'!$E$2:$X$200,'SKU Dist'!J$1,FALSE),""))</f>
        <v/>
      </c>
      <c r="Q54" s="636" t="str">
        <f>IF(IF($AT54&lt;&gt;"",VLOOKUP(CONCATENATE($AT54,$AU54,$AV54,$F54),'SKU Dist'!$E$2:$X$200,'SKU Dist'!K$1,FALSE),"")=0,"",IF($AT54&lt;&gt;"",VLOOKUP(CONCATENATE($AT54,$AU54,$AV54,$F54),'SKU Dist'!$E$2:$X$200,'SKU Dist'!K$1,FALSE),""))</f>
        <v/>
      </c>
      <c r="R54" s="636" t="str">
        <f>IF(IF($AT54&lt;&gt;"",VLOOKUP(CONCATENATE($AT54,$AU54,$AV54,$F54),'SKU Dist'!$E$2:$X$200,'SKU Dist'!L$1,FALSE),"")=0,"",IF($AT54&lt;&gt;"",VLOOKUP(CONCATENATE($AT54,$AU54,$AV54,$F54),'SKU Dist'!$E$2:$X$200,'SKU Dist'!L$1,FALSE),""))</f>
        <v/>
      </c>
      <c r="S54" s="636" t="str">
        <f>IF(IF($AT54&lt;&gt;"",VLOOKUP(CONCATENATE($AT54,$AU54,$AV54,$F54),'SKU Dist'!$E$2:$X$200,'SKU Dist'!M$1,FALSE),"")=0,"",IF($AT54&lt;&gt;"",VLOOKUP(CONCATENATE($AT54,$AU54,$AV54,$F54),'SKU Dist'!$E$2:$X$200,'SKU Dist'!M$1,FALSE),""))</f>
        <v/>
      </c>
      <c r="T54" s="636" t="str">
        <f>IF(IF($AT54&lt;&gt;"",VLOOKUP(CONCATENATE($AT54,$AU54,$AV54,$F54),'SKU Dist'!$E$2:$X$200,'SKU Dist'!N$1,FALSE),"")=0,"",IF($AT54&lt;&gt;"",VLOOKUP(CONCATENATE($AT54,$AU54,$AV54,$F54),'SKU Dist'!$E$2:$X$200,'SKU Dist'!N$1,FALSE),""))</f>
        <v/>
      </c>
      <c r="U54" s="636" t="str">
        <f>IF(IF($AT54&lt;&gt;"",VLOOKUP(CONCATENATE($AT54,$AU54,$AV54,$F54),'SKU Dist'!$E$2:$X$200,'SKU Dist'!O$1,FALSE),"")=0,"",IF($AT54&lt;&gt;"",VLOOKUP(CONCATENATE($AT54,$AU54,$AV54,$F54),'SKU Dist'!$E$2:$X$200,'SKU Dist'!O$1,FALSE),""))</f>
        <v/>
      </c>
      <c r="V54" s="636" t="str">
        <f>IF(IF($AT54&lt;&gt;"",VLOOKUP(CONCATENATE($AT54,$AU54,$AV54,$F54),'SKU Dist'!$E$2:$X$200,'SKU Dist'!P$1,FALSE),"")=0,"",IF($AT54&lt;&gt;"",VLOOKUP(CONCATENATE($AT54,$AU54,$AV54,$F54),'SKU Dist'!$E$2:$X$200,'SKU Dist'!P$1,FALSE),""))</f>
        <v/>
      </c>
      <c r="W54" s="636" t="str">
        <f>IF(IF($AT54&lt;&gt;"",VLOOKUP(CONCATENATE($AT54,$AU54,$AV54,$F54),'SKU Dist'!$E$2:$X$200,'SKU Dist'!Q$1,FALSE),"")=0,"",IF($AT54&lt;&gt;"",VLOOKUP(CONCATENATE($AT54,$AU54,$AV54,$F54),'SKU Dist'!$E$2:$X$200,'SKU Dist'!Q$1,FALSE),""))</f>
        <v/>
      </c>
      <c r="X54" s="636" t="str">
        <f>IF(IF($AT54&lt;&gt;"",VLOOKUP(CONCATENATE($AT54,$AU54,$AV54,$F54),'SKU Dist'!$E$2:$X$200,'SKU Dist'!R$1,FALSE),"")=0,"",IF($AT54&lt;&gt;"",VLOOKUP(CONCATENATE($AT54,$AU54,$AV54,$F54),'SKU Dist'!$E$2:$X$200,'SKU Dist'!R$1,FALSE),""))</f>
        <v/>
      </c>
      <c r="Y54" s="391" t="str">
        <f>IF(IF($AT54&lt;&gt;"",VLOOKUP(CONCATENATE($AT54,$AU54,$AV54,$F54),'SKU Dist'!$E$2:$X$200,'SKU Dist'!S$1,FALSE),"")=0,"",IF($AT54&lt;&gt;"",VLOOKUP(CONCATENATE($AT54,$AU54,$AV54,$F54),'SKU Dist'!$E$2:$X$200,'SKU Dist'!S$1,FALSE),""))</f>
        <v/>
      </c>
      <c r="Z54" s="636" t="str">
        <f>IF(IF($AT54&lt;&gt;"",VLOOKUP(CONCATENATE($AT54,$AU54,$AV54,$F54),'SKU Dist'!$E$2:$X$200,'SKU Dist'!T$1,FALSE),"")=0,"",IF($AT54&lt;&gt;"",VLOOKUP(CONCATENATE($AT54,$AU54,$AV54,$F54),'SKU Dist'!$E$2:$X$200,'SKU Dist'!T$1,FALSE),""))</f>
        <v/>
      </c>
      <c r="AA54" s="391" t="str">
        <f>IF(IF($AT54&lt;&gt;"",VLOOKUP(CONCATENATE($AT54,$AU54,$AV54,$F54),'SKU Dist'!$E$2:$X$200,'SKU Dist'!U$1,FALSE),"")=0,"",IF($AT54&lt;&gt;"",VLOOKUP(CONCATENATE($AT54,$AU54,$AV54,$F54),'SKU Dist'!$E$2:$X$200,'SKU Dist'!U$1,FALSE),""))</f>
        <v/>
      </c>
      <c r="AB54" s="391"/>
      <c r="AC54" s="391"/>
      <c r="AD54" s="391"/>
      <c r="AE54" s="391"/>
      <c r="AF54" s="391"/>
      <c r="AG54" s="917">
        <f t="shared" si="43"/>
        <v>0</v>
      </c>
      <c r="AH54" s="824">
        <v>120</v>
      </c>
      <c r="AI54" s="949">
        <f t="shared" si="35"/>
        <v>0</v>
      </c>
      <c r="AJ54" s="933"/>
      <c r="AT54" s="222"/>
      <c r="AU54" s="206" t="s">
        <v>9</v>
      </c>
      <c r="AV54" s="152" t="s">
        <v>17</v>
      </c>
    </row>
    <row r="55" spans="1:48" ht="15.6" customHeight="1" x14ac:dyDescent="0.25">
      <c r="A55" s="638" t="s">
        <v>211</v>
      </c>
      <c r="B55" s="1037"/>
      <c r="C55" s="856" t="s">
        <v>257</v>
      </c>
      <c r="D55" s="867" t="s">
        <v>259</v>
      </c>
      <c r="E55" s="908" t="s">
        <v>270</v>
      </c>
      <c r="F55" s="885" t="s">
        <v>35</v>
      </c>
      <c r="G55" s="718"/>
      <c r="H55" s="719"/>
      <c r="I55" s="719"/>
      <c r="J55" s="719"/>
      <c r="K55" s="719"/>
      <c r="L55" s="719"/>
      <c r="M55" s="719"/>
      <c r="N55" s="443" t="str">
        <f>IF(IF($AT55&lt;&gt;"",VLOOKUP(CONCATENATE($AT55,$AU55,$AV55,$F55),'SKU Dist'!$E$2:$X$200,'SKU Dist'!H$1,FALSE),"")=0,"",IF($AT55&lt;&gt;"",VLOOKUP(CONCATENATE($AT55,$AU55,$AV55,$F55),'SKU Dist'!$E$2:$X$200,'SKU Dist'!H$1,FALSE),""))</f>
        <v/>
      </c>
      <c r="O55" s="443" t="str">
        <f>IF(IF($AT55&lt;&gt;"",VLOOKUP(CONCATENATE($AT55,$AU55,$AV55,$F55),'SKU Dist'!$E$2:$X$200,'SKU Dist'!I$1,FALSE),"")=0,"",IF($AT55&lt;&gt;"",VLOOKUP(CONCATENATE($AT55,$AU55,$AV55,$F55),'SKU Dist'!$E$2:$X$200,'SKU Dist'!I$1,FALSE),""))</f>
        <v/>
      </c>
      <c r="P55" s="443" t="str">
        <f>IF(IF($AT55&lt;&gt;"",VLOOKUP(CONCATENATE($AT55,$AU55,$AV55,$F55),'SKU Dist'!$E$2:$X$200,'SKU Dist'!J$1,FALSE),"")=0,"",IF($AT55&lt;&gt;"",VLOOKUP(CONCATENATE($AT55,$AU55,$AV55,$F55),'SKU Dist'!$E$2:$X$200,'SKU Dist'!J$1,FALSE),""))</f>
        <v/>
      </c>
      <c r="Q55" s="443" t="str">
        <f>IF(IF($AT55&lt;&gt;"",VLOOKUP(CONCATENATE($AT55,$AU55,$AV55,$F55),'SKU Dist'!$E$2:$X$200,'SKU Dist'!K$1,FALSE),"")=0,"",IF($AT55&lt;&gt;"",VLOOKUP(CONCATENATE($AT55,$AU55,$AV55,$F55),'SKU Dist'!$E$2:$X$200,'SKU Dist'!K$1,FALSE),""))</f>
        <v/>
      </c>
      <c r="R55" s="443" t="str">
        <f>IF(IF($AT55&lt;&gt;"",VLOOKUP(CONCATENATE($AT55,$AU55,$AV55,$F55),'SKU Dist'!$E$2:$X$200,'SKU Dist'!L$1,FALSE),"")=0,"",IF($AT55&lt;&gt;"",VLOOKUP(CONCATENATE($AT55,$AU55,$AV55,$F55),'SKU Dist'!$E$2:$X$200,'SKU Dist'!L$1,FALSE),""))</f>
        <v/>
      </c>
      <c r="S55" s="443" t="str">
        <f>IF(IF($AT55&lt;&gt;"",VLOOKUP(CONCATENATE($AT55,$AU55,$AV55,$F55),'SKU Dist'!$E$2:$X$200,'SKU Dist'!M$1,FALSE),"")=0,"",IF($AT55&lt;&gt;"",VLOOKUP(CONCATENATE($AT55,$AU55,$AV55,$F55),'SKU Dist'!$E$2:$X$200,'SKU Dist'!M$1,FALSE),""))</f>
        <v/>
      </c>
      <c r="T55" s="443" t="str">
        <f>IF(IF($AT55&lt;&gt;"",VLOOKUP(CONCATENATE($AT55,$AU55,$AV55,$F55),'SKU Dist'!$E$2:$X$200,'SKU Dist'!N$1,FALSE),"")=0,"",IF($AT55&lt;&gt;"",VLOOKUP(CONCATENATE($AT55,$AU55,$AV55,$F55),'SKU Dist'!$E$2:$X$200,'SKU Dist'!N$1,FALSE),""))</f>
        <v/>
      </c>
      <c r="U55" s="443" t="str">
        <f>IF(IF($AT55&lt;&gt;"",VLOOKUP(CONCATENATE($AT55,$AU55,$AV55,$F55),'SKU Dist'!$E$2:$X$200,'SKU Dist'!O$1,FALSE),"")=0,"",IF($AT55&lt;&gt;"",VLOOKUP(CONCATENATE($AT55,$AU55,$AV55,$F55),'SKU Dist'!$E$2:$X$200,'SKU Dist'!O$1,FALSE),""))</f>
        <v/>
      </c>
      <c r="V55" s="443" t="str">
        <f>IF(IF($AT55&lt;&gt;"",VLOOKUP(CONCATENATE($AT55,$AU55,$AV55,$F55),'SKU Dist'!$E$2:$X$200,'SKU Dist'!P$1,FALSE),"")=0,"",IF($AT55&lt;&gt;"",VLOOKUP(CONCATENATE($AT55,$AU55,$AV55,$F55),'SKU Dist'!$E$2:$X$200,'SKU Dist'!P$1,FALSE),""))</f>
        <v/>
      </c>
      <c r="W55" s="443" t="str">
        <f>IF(IF($AT55&lt;&gt;"",VLOOKUP(CONCATENATE($AT55,$AU55,$AV55,$F55),'SKU Dist'!$E$2:$X$200,'SKU Dist'!Q$1,FALSE),"")=0,"",IF($AT55&lt;&gt;"",VLOOKUP(CONCATENATE($AT55,$AU55,$AV55,$F55),'SKU Dist'!$E$2:$X$200,'SKU Dist'!Q$1,FALSE),""))</f>
        <v/>
      </c>
      <c r="X55" s="443" t="str">
        <f>IF(IF($AT55&lt;&gt;"",VLOOKUP(CONCATENATE($AT55,$AU55,$AV55,$F55),'SKU Dist'!$E$2:$X$200,'SKU Dist'!R$1,FALSE),"")=0,"",IF($AT55&lt;&gt;"",VLOOKUP(CONCATENATE($AT55,$AU55,$AV55,$F55),'SKU Dist'!$E$2:$X$200,'SKU Dist'!R$1,FALSE),""))</f>
        <v/>
      </c>
      <c r="Y55" s="443" t="str">
        <f>IF(IF($AT55&lt;&gt;"",VLOOKUP(CONCATENATE($AT55,$AU55,$AV55,$F55),'SKU Dist'!$E$2:$X$200,'SKU Dist'!S$1,FALSE),"")=0,"",IF($AT55&lt;&gt;"",VLOOKUP(CONCATENATE($AT55,$AU55,$AV55,$F55),'SKU Dist'!$E$2:$X$200,'SKU Dist'!S$1,FALSE),""))</f>
        <v/>
      </c>
      <c r="Z55" s="443" t="str">
        <f>IF(IF($AT55&lt;&gt;"",VLOOKUP(CONCATENATE($AT55,$AU55,$AV55,$F55),'SKU Dist'!$E$2:$X$200,'SKU Dist'!T$1,FALSE),"")=0,"",IF($AT55&lt;&gt;"",VLOOKUP(CONCATENATE($AT55,$AU55,$AV55,$F55),'SKU Dist'!$E$2:$X$200,'SKU Dist'!T$1,FALSE),""))</f>
        <v/>
      </c>
      <c r="AA55" s="443" t="str">
        <f>IF(IF($AT55&lt;&gt;"",VLOOKUP(CONCATENATE($AT55,$AU55,$AV55,$F55),'SKU Dist'!$E$2:$X$200,'SKU Dist'!U$1,FALSE),"")=0,"",IF($AT55&lt;&gt;"",VLOOKUP(CONCATENATE($AT55,$AU55,$AV55,$F55),'SKU Dist'!$E$2:$X$200,'SKU Dist'!U$1,FALSE),""))</f>
        <v/>
      </c>
      <c r="AB55" s="443" t="str">
        <f>IF(IF($AT55&lt;&gt;"",VLOOKUP(CONCATENATE($AT55,$AU55,$AV55,$F55),'SKU Dist'!$E$2:$X$200,'SKU Dist'!V$1,FALSE),"")=0,"",IF($AT55&lt;&gt;"",VLOOKUP(CONCATENATE($AT55,$AU55,$AV55,$F55),'SKU Dist'!$E$2:$X$200,'SKU Dist'!V$1,FALSE),""))</f>
        <v/>
      </c>
      <c r="AC55" s="443"/>
      <c r="AD55" s="720"/>
      <c r="AE55" s="720"/>
      <c r="AF55" s="720"/>
      <c r="AG55" s="918">
        <f t="shared" ref="AG55" si="44">SUM(G55:AF55)</f>
        <v>0</v>
      </c>
      <c r="AH55" s="823">
        <v>140</v>
      </c>
      <c r="AI55" s="942">
        <f t="shared" ref="AI55:AI60" si="45">AG55*AH55</f>
        <v>0</v>
      </c>
      <c r="AJ55" s="925"/>
      <c r="AT55" s="222"/>
      <c r="AU55" s="206" t="s">
        <v>9</v>
      </c>
      <c r="AV55" s="206" t="s">
        <v>10</v>
      </c>
    </row>
    <row r="56" spans="1:48" ht="15.75" x14ac:dyDescent="0.2">
      <c r="A56" s="639" t="s">
        <v>268</v>
      </c>
      <c r="B56" s="1031"/>
      <c r="C56" s="857" t="s">
        <v>257</v>
      </c>
      <c r="D56" s="868" t="s">
        <v>259</v>
      </c>
      <c r="E56" s="907" t="s">
        <v>270</v>
      </c>
      <c r="F56" s="887" t="s">
        <v>68</v>
      </c>
      <c r="G56" s="641"/>
      <c r="H56" s="392"/>
      <c r="I56" s="392"/>
      <c r="J56" s="392"/>
      <c r="K56" s="392"/>
      <c r="L56" s="392" t="str">
        <f>IF(IF($AT56&lt;&gt;"",VLOOKUP(CONCATENATE($AT56,$AU56,$AV56,$F56),'SKU Dist'!$E$2:$X$200,'SKU Dist'!F$1,FALSE),"")=0,"",IF($AT56&lt;&gt;"",VLOOKUP(CONCATENATE($AT56,$AU56,$AV56,$F56),'SKU Dist'!$E$2:$X$200,'SKU Dist'!F$1,FALSE),""))</f>
        <v/>
      </c>
      <c r="M56" s="392" t="str">
        <f>IF(IF($AT56&lt;&gt;"",VLOOKUP(CONCATENATE($AT56,$AU56,$AV56,$F56),'SKU Dist'!$E$2:$X$200,'SKU Dist'!G$1,FALSE),"")=0,"",IF($AT56&lt;&gt;"",VLOOKUP(CONCATENATE($AT56,$AU56,$AV56,$F56),'SKU Dist'!$E$2:$X$200,'SKU Dist'!G$1,FALSE),""))</f>
        <v/>
      </c>
      <c r="N56" s="389" t="str">
        <f>IF(IF($AT56&lt;&gt;"",VLOOKUP(CONCATENATE($AT56,$AU56,$AV56,$F56),'SKU Dist'!$E$2:$X$200,'SKU Dist'!H$1,FALSE),"")=0,"",IF($AT56&lt;&gt;"",VLOOKUP(CONCATENATE($AT56,$AU56,$AV56,$F56),'SKU Dist'!$E$2:$X$200,'SKU Dist'!H$1,FALSE),""))</f>
        <v/>
      </c>
      <c r="O56" s="389" t="str">
        <f>IF(IF($AT56&lt;&gt;"",VLOOKUP(CONCATENATE($AT56,$AU56,$AV56,$F56),'SKU Dist'!$E$2:$X$200,'SKU Dist'!I$1,FALSE),"")=0,"",IF($AT56&lt;&gt;"",VLOOKUP(CONCATENATE($AT56,$AU56,$AV56,$F56),'SKU Dist'!$E$2:$X$200,'SKU Dist'!I$1,FALSE),""))</f>
        <v/>
      </c>
      <c r="P56" s="389" t="str">
        <f>IF(IF($AT56&lt;&gt;"",VLOOKUP(CONCATENATE($AT56,$AU56,$AV56,$F56),'SKU Dist'!$E$2:$X$200,'SKU Dist'!J$1,FALSE),"")=0,"",IF($AT56&lt;&gt;"",VLOOKUP(CONCATENATE($AT56,$AU56,$AV56,$F56),'SKU Dist'!$E$2:$X$200,'SKU Dist'!J$1,FALSE),""))</f>
        <v/>
      </c>
      <c r="Q56" s="389" t="str">
        <f>IF(IF($AT56&lt;&gt;"",VLOOKUP(CONCATENATE($AT56,$AU56,$AV56,$F56),'SKU Dist'!$E$2:$X$200,'SKU Dist'!K$1,FALSE),"")=0,"",IF($AT56&lt;&gt;"",VLOOKUP(CONCATENATE($AT56,$AU56,$AV56,$F56),'SKU Dist'!$E$2:$X$200,'SKU Dist'!K$1,FALSE),""))</f>
        <v/>
      </c>
      <c r="R56" s="389" t="str">
        <f>IF(IF($AT56&lt;&gt;"",VLOOKUP(CONCATENATE($AT56,$AU56,$AV56,$F56),'SKU Dist'!$E$2:$X$200,'SKU Dist'!L$1,FALSE),"")=0,"",IF($AT56&lt;&gt;"",VLOOKUP(CONCATENATE($AT56,$AU56,$AV56,$F56),'SKU Dist'!$E$2:$X$200,'SKU Dist'!L$1,FALSE),""))</f>
        <v/>
      </c>
      <c r="S56" s="389" t="str">
        <f>IF(IF($AT56&lt;&gt;"",VLOOKUP(CONCATENATE($AT56,$AU56,$AV56,$F56),'SKU Dist'!$E$2:$X$200,'SKU Dist'!M$1,FALSE),"")=0,"",IF($AT56&lt;&gt;"",VLOOKUP(CONCATENATE($AT56,$AU56,$AV56,$F56),'SKU Dist'!$E$2:$X$200,'SKU Dist'!M$1,FALSE),""))</f>
        <v/>
      </c>
      <c r="T56" s="389" t="str">
        <f>IF(IF($AT56&lt;&gt;"",VLOOKUP(CONCATENATE($AT56,$AU56,$AV56,$F56),'SKU Dist'!$E$2:$X$200,'SKU Dist'!N$1,FALSE),"")=0,"",IF($AT56&lt;&gt;"",VLOOKUP(CONCATENATE($AT56,$AU56,$AV56,$F56),'SKU Dist'!$E$2:$X$200,'SKU Dist'!N$1,FALSE),""))</f>
        <v/>
      </c>
      <c r="U56" s="389" t="str">
        <f>IF(IF($AT56&lt;&gt;"",VLOOKUP(CONCATENATE($AT56,$AU56,$AV56,$F56),'SKU Dist'!$E$2:$X$200,'SKU Dist'!O$1,FALSE),"")=0,"",IF($AT56&lt;&gt;"",VLOOKUP(CONCATENATE($AT56,$AU56,$AV56,$F56),'SKU Dist'!$E$2:$X$200,'SKU Dist'!O$1,FALSE),""))</f>
        <v/>
      </c>
      <c r="V56" s="389" t="str">
        <f>IF(IF($AT56&lt;&gt;"",VLOOKUP(CONCATENATE($AT56,$AU56,$AV56,$F56),'SKU Dist'!$E$2:$X$200,'SKU Dist'!P$1,FALSE),"")=0,"",IF($AT56&lt;&gt;"",VLOOKUP(CONCATENATE($AT56,$AU56,$AV56,$F56),'SKU Dist'!$E$2:$X$200,'SKU Dist'!P$1,FALSE),""))</f>
        <v/>
      </c>
      <c r="W56" s="389" t="str">
        <f>IF(IF($AT56&lt;&gt;"",VLOOKUP(CONCATENATE($AT56,$AU56,$AV56,$F56),'SKU Dist'!$E$2:$X$200,'SKU Dist'!Q$1,FALSE),"")=0,"",IF($AT56&lt;&gt;"",VLOOKUP(CONCATENATE($AT56,$AU56,$AV56,$F56),'SKU Dist'!$E$2:$X$200,'SKU Dist'!Q$1,FALSE),""))</f>
        <v/>
      </c>
      <c r="X56" s="389" t="str">
        <f>IF(IF($AT56&lt;&gt;"",VLOOKUP(CONCATENATE($AT56,$AU56,$AV56,$F56),'SKU Dist'!$E$2:$X$200,'SKU Dist'!R$1,FALSE),"")=0,"",IF($AT56&lt;&gt;"",VLOOKUP(CONCATENATE($AT56,$AU56,$AV56,$F56),'SKU Dist'!$E$2:$X$200,'SKU Dist'!R$1,FALSE),""))</f>
        <v/>
      </c>
      <c r="Y56" s="389" t="str">
        <f>IF(IF($AT56&lt;&gt;"",VLOOKUP(CONCATENATE($AT56,$AU56,$AV56,$F56),'SKU Dist'!$E$2:$X$200,'SKU Dist'!S$1,FALSE),"")=0,"",IF($AT56&lt;&gt;"",VLOOKUP(CONCATENATE($AT56,$AU56,$AV56,$F56),'SKU Dist'!$E$2:$X$200,'SKU Dist'!S$1,FALSE),""))</f>
        <v/>
      </c>
      <c r="Z56" s="389" t="str">
        <f>IF(IF($AT56&lt;&gt;"",VLOOKUP(CONCATENATE($AT56,$AU56,$AV56,$F56),'SKU Dist'!$E$2:$X$200,'SKU Dist'!T$1,FALSE),"")=0,"",IF($AT56&lt;&gt;"",VLOOKUP(CONCATENATE($AT56,$AU56,$AV56,$F56),'SKU Dist'!$E$2:$X$200,'SKU Dist'!T$1,FALSE),""))</f>
        <v/>
      </c>
      <c r="AA56" s="389" t="str">
        <f>IF(IF($AT56&lt;&gt;"",VLOOKUP(CONCATENATE($AT56,$AU56,$AV56,$F56),'SKU Dist'!$E$2:$X$200,'SKU Dist'!U$1,FALSE),"")=0,"",IF($AT56&lt;&gt;"",VLOOKUP(CONCATENATE($AT56,$AU56,$AV56,$F56),'SKU Dist'!$E$2:$X$200,'SKU Dist'!U$1,FALSE),""))</f>
        <v/>
      </c>
      <c r="AB56" s="389" t="str">
        <f>IF(IF($AT56&lt;&gt;"",VLOOKUP(CONCATENATE($AT56,$AU56,$AV56,$F56),'SKU Dist'!$E$2:$X$200,'SKU Dist'!V$1,FALSE),"")=0,"",IF($AT56&lt;&gt;"",VLOOKUP(CONCATENATE($AT56,$AU56,$AV56,$F56),'SKU Dist'!$E$2:$X$200,'SKU Dist'!V$1,FALSE),""))</f>
        <v/>
      </c>
      <c r="AC56" s="390" t="str">
        <f>IF(IF($AT56&lt;&gt;"",VLOOKUP(CONCATENATE($AT56,$AU56,$AV56,$F56),'SKU Dist'!$E$2:$X$200,'SKU Dist'!W$1,FALSE),"")=0,"",IF($AT56&lt;&gt;"",VLOOKUP(CONCATENATE($AT56,$AU56,$AV56,$F56),'SKU Dist'!$E$2:$X$200,'SKU Dist'!W$1,FALSE),""))</f>
        <v/>
      </c>
      <c r="AD56" s="390" t="str">
        <f>IF(IF($AT56&lt;&gt;"",VLOOKUP(CONCATENATE($AT56,$AU56,$AV56,$F56),'SKU Dist'!$E$2:$X$200,'SKU Dist'!X$1,FALSE),"")=0,"",IF($AT56&lt;&gt;"",VLOOKUP(CONCATENATE($AT56,$AU56,$AV56,$F56),'SKU Dist'!$E$2:$X$200,'SKU Dist'!X$1,FALSE),""))</f>
        <v/>
      </c>
      <c r="AE56" s="390"/>
      <c r="AF56" s="390"/>
      <c r="AG56" s="919">
        <f t="shared" ref="AG56:AG57" si="46">SUM(G56:AF56)</f>
        <v>0</v>
      </c>
      <c r="AH56" s="817">
        <v>140</v>
      </c>
      <c r="AI56" s="943">
        <f t="shared" si="45"/>
        <v>0</v>
      </c>
      <c r="AJ56" s="926"/>
      <c r="AT56" s="222"/>
      <c r="AU56" s="206" t="s">
        <v>9</v>
      </c>
      <c r="AV56" s="206" t="s">
        <v>10</v>
      </c>
    </row>
    <row r="57" spans="1:48" ht="15.75" x14ac:dyDescent="0.25">
      <c r="A57" s="654">
        <f>SUM(AG55:AG64)</f>
        <v>0</v>
      </c>
      <c r="B57" s="1029"/>
      <c r="C57" s="861" t="s">
        <v>257</v>
      </c>
      <c r="D57" s="873" t="s">
        <v>259</v>
      </c>
      <c r="E57" s="900" t="s">
        <v>271</v>
      </c>
      <c r="F57" s="898" t="s">
        <v>35</v>
      </c>
      <c r="G57" s="643"/>
      <c r="H57" s="433"/>
      <c r="I57" s="433"/>
      <c r="J57" s="433"/>
      <c r="K57" s="433"/>
      <c r="L57" s="433"/>
      <c r="M57" s="433"/>
      <c r="N57" s="635" t="str">
        <f>IF(IF($AT57&lt;&gt;"",VLOOKUP(CONCATENATE($AT57,$AU57,$AV57,$F57),'SKU Dist'!$E$2:$X$200,'SKU Dist'!H$1,FALSE),"")=0,"",IF($AT57&lt;&gt;"",VLOOKUP(CONCATENATE($AT57,$AU57,$AV57,$F57),'SKU Dist'!$E$2:$X$200,'SKU Dist'!H$1,FALSE),""))</f>
        <v/>
      </c>
      <c r="O57" s="635" t="str">
        <f>IF(IF($AT57&lt;&gt;"",VLOOKUP(CONCATENATE($AT57,$AU57,$AV57,$F57),'SKU Dist'!$E$2:$X$200,'SKU Dist'!I$1,FALSE),"")=0,"",IF($AT57&lt;&gt;"",VLOOKUP(CONCATENATE($AT57,$AU57,$AV57,$F57),'SKU Dist'!$E$2:$X$200,'SKU Dist'!I$1,FALSE),""))</f>
        <v/>
      </c>
      <c r="P57" s="635" t="str">
        <f>IF(IF($AT57&lt;&gt;"",VLOOKUP(CONCATENATE($AT57,$AU57,$AV57,$F57),'SKU Dist'!$E$2:$X$200,'SKU Dist'!J$1,FALSE),"")=0,"",IF($AT57&lt;&gt;"",VLOOKUP(CONCATENATE($AT57,$AU57,$AV57,$F57),'SKU Dist'!$E$2:$X$200,'SKU Dist'!J$1,FALSE),""))</f>
        <v/>
      </c>
      <c r="Q57" s="635" t="str">
        <f>IF(IF($AT57&lt;&gt;"",VLOOKUP(CONCATENATE($AT57,$AU57,$AV57,$F57),'SKU Dist'!$E$2:$X$200,'SKU Dist'!K$1,FALSE),"")=0,"",IF($AT57&lt;&gt;"",VLOOKUP(CONCATENATE($AT57,$AU57,$AV57,$F57),'SKU Dist'!$E$2:$X$200,'SKU Dist'!K$1,FALSE),""))</f>
        <v/>
      </c>
      <c r="R57" s="635" t="str">
        <f>IF(IF($AT57&lt;&gt;"",VLOOKUP(CONCATENATE($AT57,$AU57,$AV57,$F57),'SKU Dist'!$E$2:$X$200,'SKU Dist'!L$1,FALSE),"")=0,"",IF($AT57&lt;&gt;"",VLOOKUP(CONCATENATE($AT57,$AU57,$AV57,$F57),'SKU Dist'!$E$2:$X$200,'SKU Dist'!L$1,FALSE),""))</f>
        <v/>
      </c>
      <c r="S57" s="635" t="str">
        <f>IF(IF($AT57&lt;&gt;"",VLOOKUP(CONCATENATE($AT57,$AU57,$AV57,$F57),'SKU Dist'!$E$2:$X$200,'SKU Dist'!M$1,FALSE),"")=0,"",IF($AT57&lt;&gt;"",VLOOKUP(CONCATENATE($AT57,$AU57,$AV57,$F57),'SKU Dist'!$E$2:$X$200,'SKU Dist'!M$1,FALSE),""))</f>
        <v/>
      </c>
      <c r="T57" s="635" t="str">
        <f>IF(IF($AT57&lt;&gt;"",VLOOKUP(CONCATENATE($AT57,$AU57,$AV57,$F57),'SKU Dist'!$E$2:$X$200,'SKU Dist'!N$1,FALSE),"")=0,"",IF($AT57&lt;&gt;"",VLOOKUP(CONCATENATE($AT57,$AU57,$AV57,$F57),'SKU Dist'!$E$2:$X$200,'SKU Dist'!N$1,FALSE),""))</f>
        <v/>
      </c>
      <c r="U57" s="635" t="str">
        <f>IF(IF($AT57&lt;&gt;"",VLOOKUP(CONCATENATE($AT57,$AU57,$AV57,$F57),'SKU Dist'!$E$2:$X$200,'SKU Dist'!O$1,FALSE),"")=0,"",IF($AT57&lt;&gt;"",VLOOKUP(CONCATENATE($AT57,$AU57,$AV57,$F57),'SKU Dist'!$E$2:$X$200,'SKU Dist'!O$1,FALSE),""))</f>
        <v/>
      </c>
      <c r="V57" s="635" t="str">
        <f>IF(IF($AT57&lt;&gt;"",VLOOKUP(CONCATENATE($AT57,$AU57,$AV57,$F57),'SKU Dist'!$E$2:$X$200,'SKU Dist'!P$1,FALSE),"")=0,"",IF($AT57&lt;&gt;"",VLOOKUP(CONCATENATE($AT57,$AU57,$AV57,$F57),'SKU Dist'!$E$2:$X$200,'SKU Dist'!P$1,FALSE),""))</f>
        <v/>
      </c>
      <c r="W57" s="635" t="str">
        <f>IF(IF($AT57&lt;&gt;"",VLOOKUP(CONCATENATE($AT57,$AU57,$AV57,$F57),'SKU Dist'!$E$2:$X$200,'SKU Dist'!Q$1,FALSE),"")=0,"",IF($AT57&lt;&gt;"",VLOOKUP(CONCATENATE($AT57,$AU57,$AV57,$F57),'SKU Dist'!$E$2:$X$200,'SKU Dist'!Q$1,FALSE),""))</f>
        <v/>
      </c>
      <c r="X57" s="635" t="str">
        <f>IF(IF($AT57&lt;&gt;"",VLOOKUP(CONCATENATE($AT57,$AU57,$AV57,$F57),'SKU Dist'!$E$2:$X$200,'SKU Dist'!R$1,FALSE),"")=0,"",IF($AT57&lt;&gt;"",VLOOKUP(CONCATENATE($AT57,$AU57,$AV57,$F57),'SKU Dist'!$E$2:$X$200,'SKU Dist'!R$1,FALSE),""))</f>
        <v/>
      </c>
      <c r="Y57" s="635" t="str">
        <f>IF(IF($AT57&lt;&gt;"",VLOOKUP(CONCATENATE($AT57,$AU57,$AV57,$F57),'SKU Dist'!$E$2:$X$200,'SKU Dist'!S$1,FALSE),"")=0,"",IF($AT57&lt;&gt;"",VLOOKUP(CONCATENATE($AT57,$AU57,$AV57,$F57),'SKU Dist'!$E$2:$X$200,'SKU Dist'!S$1,FALSE),""))</f>
        <v/>
      </c>
      <c r="Z57" s="635" t="str">
        <f>IF(IF($AT57&lt;&gt;"",VLOOKUP(CONCATENATE($AT57,$AU57,$AV57,$F57),'SKU Dist'!$E$2:$X$200,'SKU Dist'!T$1,FALSE),"")=0,"",IF($AT57&lt;&gt;"",VLOOKUP(CONCATENATE($AT57,$AU57,$AV57,$F57),'SKU Dist'!$E$2:$X$200,'SKU Dist'!T$1,FALSE),""))</f>
        <v/>
      </c>
      <c r="AA57" s="635" t="str">
        <f>IF(IF($AT57&lt;&gt;"",VLOOKUP(CONCATENATE($AT57,$AU57,$AV57,$F57),'SKU Dist'!$E$2:$X$200,'SKU Dist'!U$1,FALSE),"")=0,"",IF($AT57&lt;&gt;"",VLOOKUP(CONCATENATE($AT57,$AU57,$AV57,$F57),'SKU Dist'!$E$2:$X$200,'SKU Dist'!U$1,FALSE),""))</f>
        <v/>
      </c>
      <c r="AB57" s="635" t="str">
        <f>IF(IF($AT57&lt;&gt;"",VLOOKUP(CONCATENATE($AT57,$AU57,$AV57,$F57),'SKU Dist'!$E$2:$X$200,'SKU Dist'!V$1,FALSE),"")=0,"",IF($AT57&lt;&gt;"",VLOOKUP(CONCATENATE($AT57,$AU57,$AV57,$F57),'SKU Dist'!$E$2:$X$200,'SKU Dist'!V$1,FALSE),""))</f>
        <v/>
      </c>
      <c r="AC57" s="635"/>
      <c r="AD57" s="434"/>
      <c r="AE57" s="434"/>
      <c r="AF57" s="434"/>
      <c r="AG57" s="803">
        <f t="shared" si="46"/>
        <v>0</v>
      </c>
      <c r="AH57" s="814">
        <v>102.5</v>
      </c>
      <c r="AI57" s="948">
        <f t="shared" si="45"/>
        <v>0</v>
      </c>
      <c r="AJ57" s="931"/>
      <c r="AT57" s="222"/>
      <c r="AU57" s="206" t="s">
        <v>9</v>
      </c>
      <c r="AV57" s="152" t="s">
        <v>10</v>
      </c>
    </row>
    <row r="58" spans="1:48" ht="15.75" x14ac:dyDescent="0.25">
      <c r="A58" s="655">
        <f>SUM(AI55:AI64)</f>
        <v>0</v>
      </c>
      <c r="B58" s="1029"/>
      <c r="C58" s="861" t="s">
        <v>257</v>
      </c>
      <c r="D58" s="873" t="s">
        <v>259</v>
      </c>
      <c r="E58" s="900" t="s">
        <v>271</v>
      </c>
      <c r="F58" s="898" t="s">
        <v>68</v>
      </c>
      <c r="G58" s="641"/>
      <c r="H58" s="392"/>
      <c r="I58" s="392"/>
      <c r="J58" s="392"/>
      <c r="K58" s="392"/>
      <c r="L58" s="392" t="str">
        <f>IF(IF($AT58&lt;&gt;"",VLOOKUP(CONCATENATE($AT58,$AU58,$AV58,$F58),'SKU Dist'!$E$2:$X$200,'SKU Dist'!F$1,FALSE),"")=0,"",IF($AT58&lt;&gt;"",VLOOKUP(CONCATENATE($AT58,$AU58,$AV58,$F58),'SKU Dist'!$E$2:$X$200,'SKU Dist'!F$1,FALSE),""))</f>
        <v/>
      </c>
      <c r="M58" s="392" t="str">
        <f>IF(IF($AT58&lt;&gt;"",VLOOKUP(CONCATENATE($AT58,$AU58,$AV58,$F58),'SKU Dist'!$E$2:$X$200,'SKU Dist'!G$1,FALSE),"")=0,"",IF($AT58&lt;&gt;"",VLOOKUP(CONCATENATE($AT58,$AU58,$AV58,$F58),'SKU Dist'!$E$2:$X$200,'SKU Dist'!G$1,FALSE),""))</f>
        <v/>
      </c>
      <c r="N58" s="635" t="str">
        <f>IF(IF($AT58&lt;&gt;"",VLOOKUP(CONCATENATE($AT58,$AU58,$AV58,$F58),'SKU Dist'!$E$2:$X$200,'SKU Dist'!H$1,FALSE),"")=0,"",IF($AT58&lt;&gt;"",VLOOKUP(CONCATENATE($AT58,$AU58,$AV58,$F58),'SKU Dist'!$E$2:$X$200,'SKU Dist'!H$1,FALSE),""))</f>
        <v/>
      </c>
      <c r="O58" s="635" t="str">
        <f>IF(IF($AT58&lt;&gt;"",VLOOKUP(CONCATENATE($AT58,$AU58,$AV58,$F58),'SKU Dist'!$E$2:$X$200,'SKU Dist'!I$1,FALSE),"")=0,"",IF($AT58&lt;&gt;"",VLOOKUP(CONCATENATE($AT58,$AU58,$AV58,$F58),'SKU Dist'!$E$2:$X$200,'SKU Dist'!I$1,FALSE),""))</f>
        <v/>
      </c>
      <c r="P58" s="635" t="str">
        <f>IF(IF($AT58&lt;&gt;"",VLOOKUP(CONCATENATE($AT58,$AU58,$AV58,$F58),'SKU Dist'!$E$2:$X$200,'SKU Dist'!J$1,FALSE),"")=0,"",IF($AT58&lt;&gt;"",VLOOKUP(CONCATENATE($AT58,$AU58,$AV58,$F58),'SKU Dist'!$E$2:$X$200,'SKU Dist'!J$1,FALSE),""))</f>
        <v/>
      </c>
      <c r="Q58" s="635" t="str">
        <f>IF(IF($AT58&lt;&gt;"",VLOOKUP(CONCATENATE($AT58,$AU58,$AV58,$F58),'SKU Dist'!$E$2:$X$200,'SKU Dist'!K$1,FALSE),"")=0,"",IF($AT58&lt;&gt;"",VLOOKUP(CONCATENATE($AT58,$AU58,$AV58,$F58),'SKU Dist'!$E$2:$X$200,'SKU Dist'!K$1,FALSE),""))</f>
        <v/>
      </c>
      <c r="R58" s="635" t="str">
        <f>IF(IF($AT58&lt;&gt;"",VLOOKUP(CONCATENATE($AT58,$AU58,$AV58,$F58),'SKU Dist'!$E$2:$X$200,'SKU Dist'!L$1,FALSE),"")=0,"",IF($AT58&lt;&gt;"",VLOOKUP(CONCATENATE($AT58,$AU58,$AV58,$F58),'SKU Dist'!$E$2:$X$200,'SKU Dist'!L$1,FALSE),""))</f>
        <v/>
      </c>
      <c r="S58" s="635" t="str">
        <f>IF(IF($AT58&lt;&gt;"",VLOOKUP(CONCATENATE($AT58,$AU58,$AV58,$F58),'SKU Dist'!$E$2:$X$200,'SKU Dist'!M$1,FALSE),"")=0,"",IF($AT58&lt;&gt;"",VLOOKUP(CONCATENATE($AT58,$AU58,$AV58,$F58),'SKU Dist'!$E$2:$X$200,'SKU Dist'!M$1,FALSE),""))</f>
        <v/>
      </c>
      <c r="T58" s="635" t="str">
        <f>IF(IF($AT58&lt;&gt;"",VLOOKUP(CONCATENATE($AT58,$AU58,$AV58,$F58),'SKU Dist'!$E$2:$X$200,'SKU Dist'!N$1,FALSE),"")=0,"",IF($AT58&lt;&gt;"",VLOOKUP(CONCATENATE($AT58,$AU58,$AV58,$F58),'SKU Dist'!$E$2:$X$200,'SKU Dist'!N$1,FALSE),""))</f>
        <v/>
      </c>
      <c r="U58" s="635" t="str">
        <f>IF(IF($AT58&lt;&gt;"",VLOOKUP(CONCATENATE($AT58,$AU58,$AV58,$F58),'SKU Dist'!$E$2:$X$200,'SKU Dist'!O$1,FALSE),"")=0,"",IF($AT58&lt;&gt;"",VLOOKUP(CONCATENATE($AT58,$AU58,$AV58,$F58),'SKU Dist'!$E$2:$X$200,'SKU Dist'!O$1,FALSE),""))</f>
        <v/>
      </c>
      <c r="V58" s="635" t="str">
        <f>IF(IF($AT58&lt;&gt;"",VLOOKUP(CONCATENATE($AT58,$AU58,$AV58,$F58),'SKU Dist'!$E$2:$X$200,'SKU Dist'!P$1,FALSE),"")=0,"",IF($AT58&lt;&gt;"",VLOOKUP(CONCATENATE($AT58,$AU58,$AV58,$F58),'SKU Dist'!$E$2:$X$200,'SKU Dist'!P$1,FALSE),""))</f>
        <v/>
      </c>
      <c r="W58" s="635" t="str">
        <f>IF(IF($AT58&lt;&gt;"",VLOOKUP(CONCATENATE($AT58,$AU58,$AV58,$F58),'SKU Dist'!$E$2:$X$200,'SKU Dist'!Q$1,FALSE),"")=0,"",IF($AT58&lt;&gt;"",VLOOKUP(CONCATENATE($AT58,$AU58,$AV58,$F58),'SKU Dist'!$E$2:$X$200,'SKU Dist'!Q$1,FALSE),""))</f>
        <v/>
      </c>
      <c r="X58" s="635" t="str">
        <f>IF(IF($AT58&lt;&gt;"",VLOOKUP(CONCATENATE($AT58,$AU58,$AV58,$F58),'SKU Dist'!$E$2:$X$200,'SKU Dist'!R$1,FALSE),"")=0,"",IF($AT58&lt;&gt;"",VLOOKUP(CONCATENATE($AT58,$AU58,$AV58,$F58),'SKU Dist'!$E$2:$X$200,'SKU Dist'!R$1,FALSE),""))</f>
        <v/>
      </c>
      <c r="Y58" s="635" t="str">
        <f>IF(IF($AT58&lt;&gt;"",VLOOKUP(CONCATENATE($AT58,$AU58,$AV58,$F58),'SKU Dist'!$E$2:$X$200,'SKU Dist'!S$1,FALSE),"")=0,"",IF($AT58&lt;&gt;"",VLOOKUP(CONCATENATE($AT58,$AU58,$AV58,$F58),'SKU Dist'!$E$2:$X$200,'SKU Dist'!S$1,FALSE),""))</f>
        <v/>
      </c>
      <c r="Z58" s="635" t="str">
        <f>IF(IF($AT58&lt;&gt;"",VLOOKUP(CONCATENATE($AT58,$AU58,$AV58,$F58),'SKU Dist'!$E$2:$X$200,'SKU Dist'!T$1,FALSE),"")=0,"",IF($AT58&lt;&gt;"",VLOOKUP(CONCATENATE($AT58,$AU58,$AV58,$F58),'SKU Dist'!$E$2:$X$200,'SKU Dist'!T$1,FALSE),""))</f>
        <v/>
      </c>
      <c r="AA58" s="635" t="str">
        <f>IF(IF($AT58&lt;&gt;"",VLOOKUP(CONCATENATE($AT58,$AU58,$AV58,$F58),'SKU Dist'!$E$2:$X$200,'SKU Dist'!U$1,FALSE),"")=0,"",IF($AT58&lt;&gt;"",VLOOKUP(CONCATENATE($AT58,$AU58,$AV58,$F58),'SKU Dist'!$E$2:$X$200,'SKU Dist'!U$1,FALSE),""))</f>
        <v/>
      </c>
      <c r="AB58" s="635" t="str">
        <f>IF(IF($AT58&lt;&gt;"",VLOOKUP(CONCATENATE($AT58,$AU58,$AV58,$F58),'SKU Dist'!$E$2:$X$200,'SKU Dist'!V$1,FALSE),"")=0,"",IF($AT58&lt;&gt;"",VLOOKUP(CONCATENATE($AT58,$AU58,$AV58,$F58),'SKU Dist'!$E$2:$X$200,'SKU Dist'!V$1,FALSE),""))</f>
        <v/>
      </c>
      <c r="AC58" s="390" t="str">
        <f>IF(IF($AT58&lt;&gt;"",VLOOKUP(CONCATENATE($AT58,$AU58,$AV58,$F58),'SKU Dist'!$E$2:$X$200,'SKU Dist'!W$1,FALSE),"")=0,"",IF($AT58&lt;&gt;"",VLOOKUP(CONCATENATE($AT58,$AU58,$AV58,$F58),'SKU Dist'!$E$2:$X$200,'SKU Dist'!W$1,FALSE),""))</f>
        <v/>
      </c>
      <c r="AD58" s="390" t="str">
        <f>IF(IF($AT58&lt;&gt;"",VLOOKUP(CONCATENATE($AT58,$AU58,$AV58,$F58),'SKU Dist'!$E$2:$X$200,'SKU Dist'!X$1,FALSE),"")=0,"",IF($AT58&lt;&gt;"",VLOOKUP(CONCATENATE($AT58,$AU58,$AV58,$F58),'SKU Dist'!$E$2:$X$200,'SKU Dist'!X$1,FALSE),""))</f>
        <v/>
      </c>
      <c r="AE58" s="390"/>
      <c r="AF58" s="390"/>
      <c r="AG58" s="803">
        <f t="shared" ref="AG58" si="47">SUM(G58:AF58)</f>
        <v>0</v>
      </c>
      <c r="AH58" s="814">
        <v>102.5</v>
      </c>
      <c r="AI58" s="948">
        <f t="shared" si="45"/>
        <v>0</v>
      </c>
      <c r="AJ58" s="931"/>
      <c r="AT58" s="222"/>
      <c r="AU58" s="206" t="s">
        <v>9</v>
      </c>
      <c r="AV58" s="152" t="s">
        <v>10</v>
      </c>
    </row>
    <row r="59" spans="1:48" ht="15.75" x14ac:dyDescent="0.25">
      <c r="A59" s="654"/>
      <c r="B59" s="1031"/>
      <c r="C59" s="857" t="s">
        <v>257</v>
      </c>
      <c r="D59" s="868" t="s">
        <v>259</v>
      </c>
      <c r="E59" s="907" t="s">
        <v>272</v>
      </c>
      <c r="F59" s="887" t="s">
        <v>35</v>
      </c>
      <c r="G59" s="643"/>
      <c r="H59" s="433"/>
      <c r="I59" s="433"/>
      <c r="J59" s="433"/>
      <c r="K59" s="433"/>
      <c r="L59" s="433" t="str">
        <f>IF(IF($AT59&lt;&gt;"",VLOOKUP(CONCATENATE($AT59,$AU59,$AV59,$F59),'SKU Dist'!$E$2:$X$200,'SKU Dist'!F$1,FALSE),"")=0,"",IF($AT59&lt;&gt;"",VLOOKUP(CONCATENATE($AT59,$AU59,$AV59,$F59),'SKU Dist'!$E$2:$X$200,'SKU Dist'!F$1,FALSE),""))</f>
        <v/>
      </c>
      <c r="M59" s="433" t="str">
        <f>IF(IF($AT59&lt;&gt;"",VLOOKUP(CONCATENATE($AT59,$AU59,$AV59,$F59),'SKU Dist'!$E$2:$X$200,'SKU Dist'!G$1,FALSE),"")=0,"",IF($AT59&lt;&gt;"",VLOOKUP(CONCATENATE($AT59,$AU59,$AV59,$F59),'SKU Dist'!$E$2:$X$200,'SKU Dist'!G$1,FALSE),""))</f>
        <v/>
      </c>
      <c r="N59" s="389" t="str">
        <f>IF(IF($AT59&lt;&gt;"",VLOOKUP(CONCATENATE($AT59,$AU59,$AV59,$F59),'SKU Dist'!$E$2:$X$200,'SKU Dist'!H$1,FALSE),"")=0,"",IF($AT59&lt;&gt;"",VLOOKUP(CONCATENATE($AT59,$AU59,$AV59,$F59),'SKU Dist'!$E$2:$X$200,'SKU Dist'!H$1,FALSE),""))</f>
        <v/>
      </c>
      <c r="O59" s="389" t="str">
        <f>IF(IF($AT59&lt;&gt;"",VLOOKUP(CONCATENATE($AT59,$AU59,$AV59,$F59),'SKU Dist'!$E$2:$X$200,'SKU Dist'!I$1,FALSE),"")=0,"",IF($AT59&lt;&gt;"",VLOOKUP(CONCATENATE($AT59,$AU59,$AV59,$F59),'SKU Dist'!$E$2:$X$200,'SKU Dist'!I$1,FALSE),""))</f>
        <v/>
      </c>
      <c r="P59" s="389" t="str">
        <f>IF(IF($AT59&lt;&gt;"",VLOOKUP(CONCATENATE($AT59,$AU59,$AV59,$F59),'SKU Dist'!$E$2:$X$200,'SKU Dist'!J$1,FALSE),"")=0,"",IF($AT59&lt;&gt;"",VLOOKUP(CONCATENATE($AT59,$AU59,$AV59,$F59),'SKU Dist'!$E$2:$X$200,'SKU Dist'!J$1,FALSE),""))</f>
        <v/>
      </c>
      <c r="Q59" s="389" t="str">
        <f>IF(IF($AT59&lt;&gt;"",VLOOKUP(CONCATENATE($AT59,$AU59,$AV59,$F59),'SKU Dist'!$E$2:$X$200,'SKU Dist'!K$1,FALSE),"")=0,"",IF($AT59&lt;&gt;"",VLOOKUP(CONCATENATE($AT59,$AU59,$AV59,$F59),'SKU Dist'!$E$2:$X$200,'SKU Dist'!K$1,FALSE),""))</f>
        <v/>
      </c>
      <c r="R59" s="389" t="str">
        <f>IF(IF($AT59&lt;&gt;"",VLOOKUP(CONCATENATE($AT59,$AU59,$AV59,$F59),'SKU Dist'!$E$2:$X$200,'SKU Dist'!L$1,FALSE),"")=0,"",IF($AT59&lt;&gt;"",VLOOKUP(CONCATENATE($AT59,$AU59,$AV59,$F59),'SKU Dist'!$E$2:$X$200,'SKU Dist'!L$1,FALSE),""))</f>
        <v/>
      </c>
      <c r="S59" s="389" t="str">
        <f>IF(IF($AT59&lt;&gt;"",VLOOKUP(CONCATENATE($AT59,$AU59,$AV59,$F59),'SKU Dist'!$E$2:$X$200,'SKU Dist'!M$1,FALSE),"")=0,"",IF($AT59&lt;&gt;"",VLOOKUP(CONCATENATE($AT59,$AU59,$AV59,$F59),'SKU Dist'!$E$2:$X$200,'SKU Dist'!M$1,FALSE),""))</f>
        <v/>
      </c>
      <c r="T59" s="389" t="str">
        <f>IF(IF($AT59&lt;&gt;"",VLOOKUP(CONCATENATE($AT59,$AU59,$AV59,$F59),'SKU Dist'!$E$2:$X$200,'SKU Dist'!N$1,FALSE),"")=0,"",IF($AT59&lt;&gt;"",VLOOKUP(CONCATENATE($AT59,$AU59,$AV59,$F59),'SKU Dist'!$E$2:$X$200,'SKU Dist'!N$1,FALSE),""))</f>
        <v/>
      </c>
      <c r="U59" s="389" t="str">
        <f>IF(IF($AT59&lt;&gt;"",VLOOKUP(CONCATENATE($AT59,$AU59,$AV59,$F59),'SKU Dist'!$E$2:$X$200,'SKU Dist'!O$1,FALSE),"")=0,"",IF($AT59&lt;&gt;"",VLOOKUP(CONCATENATE($AT59,$AU59,$AV59,$F59),'SKU Dist'!$E$2:$X$200,'SKU Dist'!O$1,FALSE),""))</f>
        <v/>
      </c>
      <c r="V59" s="389" t="str">
        <f>IF(IF($AT59&lt;&gt;"",VLOOKUP(CONCATENATE($AT59,$AU59,$AV59,$F59),'SKU Dist'!$E$2:$X$200,'SKU Dist'!P$1,FALSE),"")=0,"",IF($AT59&lt;&gt;"",VLOOKUP(CONCATENATE($AT59,$AU59,$AV59,$F59),'SKU Dist'!$E$2:$X$200,'SKU Dist'!P$1,FALSE),""))</f>
        <v/>
      </c>
      <c r="W59" s="389" t="str">
        <f>IF(IF($AT59&lt;&gt;"",VLOOKUP(CONCATENATE($AT59,$AU59,$AV59,$F59),'SKU Dist'!$E$2:$X$200,'SKU Dist'!Q$1,FALSE),"")=0,"",IF($AT59&lt;&gt;"",VLOOKUP(CONCATENATE($AT59,$AU59,$AV59,$F59),'SKU Dist'!$E$2:$X$200,'SKU Dist'!Q$1,FALSE),""))</f>
        <v/>
      </c>
      <c r="X59" s="389" t="str">
        <f>IF(IF($AT59&lt;&gt;"",VLOOKUP(CONCATENATE($AT59,$AU59,$AV59,$F59),'SKU Dist'!$E$2:$X$200,'SKU Dist'!R$1,FALSE),"")=0,"",IF($AT59&lt;&gt;"",VLOOKUP(CONCATENATE($AT59,$AU59,$AV59,$F59),'SKU Dist'!$E$2:$X$200,'SKU Dist'!R$1,FALSE),""))</f>
        <v/>
      </c>
      <c r="Y59" s="389" t="str">
        <f>IF(IF($AT59&lt;&gt;"",VLOOKUP(CONCATENATE($AT59,$AU59,$AV59,$F59),'SKU Dist'!$E$2:$X$200,'SKU Dist'!S$1,FALSE),"")=0,"",IF($AT59&lt;&gt;"",VLOOKUP(CONCATENATE($AT59,$AU59,$AV59,$F59),'SKU Dist'!$E$2:$X$200,'SKU Dist'!S$1,FALSE),""))</f>
        <v/>
      </c>
      <c r="Z59" s="389" t="str">
        <f>IF(IF($AT59&lt;&gt;"",VLOOKUP(CONCATENATE($AT59,$AU59,$AV59,$F59),'SKU Dist'!$E$2:$X$200,'SKU Dist'!T$1,FALSE),"")=0,"",IF($AT59&lt;&gt;"",VLOOKUP(CONCATENATE($AT59,$AU59,$AV59,$F59),'SKU Dist'!$E$2:$X$200,'SKU Dist'!T$1,FALSE),""))</f>
        <v/>
      </c>
      <c r="AA59" s="389" t="str">
        <f>IF(IF($AT59&lt;&gt;"",VLOOKUP(CONCATENATE($AT59,$AU59,$AV59,$F59),'SKU Dist'!$E$2:$X$200,'SKU Dist'!U$1,FALSE),"")=0,"",IF($AT59&lt;&gt;"",VLOOKUP(CONCATENATE($AT59,$AU59,$AV59,$F59),'SKU Dist'!$E$2:$X$200,'SKU Dist'!U$1,FALSE),""))</f>
        <v/>
      </c>
      <c r="AB59" s="389"/>
      <c r="AC59" s="389"/>
      <c r="AD59" s="434"/>
      <c r="AE59" s="434"/>
      <c r="AF59" s="434"/>
      <c r="AG59" s="919">
        <f t="shared" ref="AG59" si="48">SUM(G59:AF59)</f>
        <v>0</v>
      </c>
      <c r="AH59" s="817">
        <v>112.5</v>
      </c>
      <c r="AI59" s="943">
        <f t="shared" si="45"/>
        <v>0</v>
      </c>
      <c r="AJ59" s="926"/>
      <c r="AT59" s="222"/>
      <c r="AU59" s="206" t="s">
        <v>9</v>
      </c>
      <c r="AV59" s="152" t="s">
        <v>10</v>
      </c>
    </row>
    <row r="60" spans="1:48" ht="15.75" x14ac:dyDescent="0.25">
      <c r="A60" s="655"/>
      <c r="B60" s="1031"/>
      <c r="C60" s="857" t="s">
        <v>257</v>
      </c>
      <c r="D60" s="868" t="s">
        <v>259</v>
      </c>
      <c r="E60" s="907" t="s">
        <v>272</v>
      </c>
      <c r="F60" s="887" t="s">
        <v>68</v>
      </c>
      <c r="G60" s="641"/>
      <c r="H60" s="392"/>
      <c r="I60" s="392"/>
      <c r="J60" s="392"/>
      <c r="K60" s="392"/>
      <c r="L60" s="392" t="str">
        <f>IF(IF($AT60&lt;&gt;"",VLOOKUP(CONCATENATE($AT60,$AU60,$AV60,$F60),'SKU Dist'!$E$2:$X$200,'SKU Dist'!F$1,FALSE),"")=0,"",IF($AT60&lt;&gt;"",VLOOKUP(CONCATENATE($AT60,$AU60,$AV60,$F60),'SKU Dist'!$E$2:$X$200,'SKU Dist'!F$1,FALSE),""))</f>
        <v/>
      </c>
      <c r="M60" s="392" t="str">
        <f>IF(IF($AT60&lt;&gt;"",VLOOKUP(CONCATENATE($AT60,$AU60,$AV60,$F60),'SKU Dist'!$E$2:$X$200,'SKU Dist'!G$1,FALSE),"")=0,"",IF($AT60&lt;&gt;"",VLOOKUP(CONCATENATE($AT60,$AU60,$AV60,$F60),'SKU Dist'!$E$2:$X$200,'SKU Dist'!G$1,FALSE),""))</f>
        <v/>
      </c>
      <c r="N60" s="389" t="str">
        <f>IF(IF($AT60&lt;&gt;"",VLOOKUP(CONCATENATE($AT60,$AU60,$AV60,$F60),'SKU Dist'!$E$2:$X$200,'SKU Dist'!H$1,FALSE),"")=0,"",IF($AT60&lt;&gt;"",VLOOKUP(CONCATENATE($AT60,$AU60,$AV60,$F60),'SKU Dist'!$E$2:$X$200,'SKU Dist'!H$1,FALSE),""))</f>
        <v/>
      </c>
      <c r="O60" s="389" t="str">
        <f>IF(IF($AT60&lt;&gt;"",VLOOKUP(CONCATENATE($AT60,$AU60,$AV60,$F60),'SKU Dist'!$E$2:$X$200,'SKU Dist'!I$1,FALSE),"")=0,"",IF($AT60&lt;&gt;"",VLOOKUP(CONCATENATE($AT60,$AU60,$AV60,$F60),'SKU Dist'!$E$2:$X$200,'SKU Dist'!I$1,FALSE),""))</f>
        <v/>
      </c>
      <c r="P60" s="389" t="str">
        <f>IF(IF($AT60&lt;&gt;"",VLOOKUP(CONCATENATE($AT60,$AU60,$AV60,$F60),'SKU Dist'!$E$2:$X$200,'SKU Dist'!J$1,FALSE),"")=0,"",IF($AT60&lt;&gt;"",VLOOKUP(CONCATENATE($AT60,$AU60,$AV60,$F60),'SKU Dist'!$E$2:$X$200,'SKU Dist'!J$1,FALSE),""))</f>
        <v/>
      </c>
      <c r="Q60" s="389" t="str">
        <f>IF(IF($AT60&lt;&gt;"",VLOOKUP(CONCATENATE($AT60,$AU60,$AV60,$F60),'SKU Dist'!$E$2:$X$200,'SKU Dist'!K$1,FALSE),"")=0,"",IF($AT60&lt;&gt;"",VLOOKUP(CONCATENATE($AT60,$AU60,$AV60,$F60),'SKU Dist'!$E$2:$X$200,'SKU Dist'!K$1,FALSE),""))</f>
        <v/>
      </c>
      <c r="R60" s="389" t="str">
        <f>IF(IF($AT60&lt;&gt;"",VLOOKUP(CONCATENATE($AT60,$AU60,$AV60,$F60),'SKU Dist'!$E$2:$X$200,'SKU Dist'!L$1,FALSE),"")=0,"",IF($AT60&lt;&gt;"",VLOOKUP(CONCATENATE($AT60,$AU60,$AV60,$F60),'SKU Dist'!$E$2:$X$200,'SKU Dist'!L$1,FALSE),""))</f>
        <v/>
      </c>
      <c r="S60" s="389" t="str">
        <f>IF(IF($AT60&lt;&gt;"",VLOOKUP(CONCATENATE($AT60,$AU60,$AV60,$F60),'SKU Dist'!$E$2:$X$200,'SKU Dist'!M$1,FALSE),"")=0,"",IF($AT60&lt;&gt;"",VLOOKUP(CONCATENATE($AT60,$AU60,$AV60,$F60),'SKU Dist'!$E$2:$X$200,'SKU Dist'!M$1,FALSE),""))</f>
        <v/>
      </c>
      <c r="T60" s="389" t="str">
        <f>IF(IF($AT60&lt;&gt;"",VLOOKUP(CONCATENATE($AT60,$AU60,$AV60,$F60),'SKU Dist'!$E$2:$X$200,'SKU Dist'!N$1,FALSE),"")=0,"",IF($AT60&lt;&gt;"",VLOOKUP(CONCATENATE($AT60,$AU60,$AV60,$F60),'SKU Dist'!$E$2:$X$200,'SKU Dist'!N$1,FALSE),""))</f>
        <v/>
      </c>
      <c r="U60" s="389" t="str">
        <f>IF(IF($AT60&lt;&gt;"",VLOOKUP(CONCATENATE($AT60,$AU60,$AV60,$F60),'SKU Dist'!$E$2:$X$200,'SKU Dist'!O$1,FALSE),"")=0,"",IF($AT60&lt;&gt;"",VLOOKUP(CONCATENATE($AT60,$AU60,$AV60,$F60),'SKU Dist'!$E$2:$X$200,'SKU Dist'!O$1,FALSE),""))</f>
        <v/>
      </c>
      <c r="V60" s="389" t="str">
        <f>IF(IF($AT60&lt;&gt;"",VLOOKUP(CONCATENATE($AT60,$AU60,$AV60,$F60),'SKU Dist'!$E$2:$X$200,'SKU Dist'!P$1,FALSE),"")=0,"",IF($AT60&lt;&gt;"",VLOOKUP(CONCATENATE($AT60,$AU60,$AV60,$F60),'SKU Dist'!$E$2:$X$200,'SKU Dist'!P$1,FALSE),""))</f>
        <v/>
      </c>
      <c r="W60" s="389" t="str">
        <f>IF(IF($AT60&lt;&gt;"",VLOOKUP(CONCATENATE($AT60,$AU60,$AV60,$F60),'SKU Dist'!$E$2:$X$200,'SKU Dist'!Q$1,FALSE),"")=0,"",IF($AT60&lt;&gt;"",VLOOKUP(CONCATENATE($AT60,$AU60,$AV60,$F60),'SKU Dist'!$E$2:$X$200,'SKU Dist'!Q$1,FALSE),""))</f>
        <v/>
      </c>
      <c r="X60" s="389" t="str">
        <f>IF(IF($AT60&lt;&gt;"",VLOOKUP(CONCATENATE($AT60,$AU60,$AV60,$F60),'SKU Dist'!$E$2:$X$200,'SKU Dist'!R$1,FALSE),"")=0,"",IF($AT60&lt;&gt;"",VLOOKUP(CONCATENATE($AT60,$AU60,$AV60,$F60),'SKU Dist'!$E$2:$X$200,'SKU Dist'!R$1,FALSE),""))</f>
        <v/>
      </c>
      <c r="Y60" s="389" t="str">
        <f>IF(IF($AT60&lt;&gt;"",VLOOKUP(CONCATENATE($AT60,$AU60,$AV60,$F60),'SKU Dist'!$E$2:$X$200,'SKU Dist'!S$1,FALSE),"")=0,"",IF($AT60&lt;&gt;"",VLOOKUP(CONCATENATE($AT60,$AU60,$AV60,$F60),'SKU Dist'!$E$2:$X$200,'SKU Dist'!S$1,FALSE),""))</f>
        <v/>
      </c>
      <c r="Z60" s="389" t="str">
        <f>IF(IF($AT60&lt;&gt;"",VLOOKUP(CONCATENATE($AT60,$AU60,$AV60,$F60),'SKU Dist'!$E$2:$X$200,'SKU Dist'!T$1,FALSE),"")=0,"",IF($AT60&lt;&gt;"",VLOOKUP(CONCATENATE($AT60,$AU60,$AV60,$F60),'SKU Dist'!$E$2:$X$200,'SKU Dist'!T$1,FALSE),""))</f>
        <v/>
      </c>
      <c r="AA60" s="389" t="str">
        <f>IF(IF($AT60&lt;&gt;"",VLOOKUP(CONCATENATE($AT60,$AU60,$AV60,$F60),'SKU Dist'!$E$2:$X$200,'SKU Dist'!U$1,FALSE),"")=0,"",IF($AT60&lt;&gt;"",VLOOKUP(CONCATENATE($AT60,$AU60,$AV60,$F60),'SKU Dist'!$E$2:$X$200,'SKU Dist'!U$1,FALSE),""))</f>
        <v/>
      </c>
      <c r="AB60" s="389"/>
      <c r="AC60" s="390"/>
      <c r="AD60" s="390"/>
      <c r="AE60" s="390"/>
      <c r="AF60" s="390"/>
      <c r="AG60" s="919">
        <f t="shared" ref="AG60" si="49">SUM(G60:AF60)</f>
        <v>0</v>
      </c>
      <c r="AH60" s="817">
        <v>112.5</v>
      </c>
      <c r="AI60" s="943">
        <f t="shared" si="45"/>
        <v>0</v>
      </c>
      <c r="AJ60" s="926"/>
      <c r="AT60" s="222"/>
      <c r="AU60" s="206" t="s">
        <v>9</v>
      </c>
      <c r="AV60" s="152" t="s">
        <v>10</v>
      </c>
    </row>
    <row r="61" spans="1:48" ht="15" x14ac:dyDescent="0.2">
      <c r="A61" s="780"/>
      <c r="B61" s="1029"/>
      <c r="C61" s="861" t="s">
        <v>257</v>
      </c>
      <c r="D61" s="873" t="s">
        <v>259</v>
      </c>
      <c r="E61" s="900" t="s">
        <v>269</v>
      </c>
      <c r="F61" s="898" t="s">
        <v>26</v>
      </c>
      <c r="G61" s="643"/>
      <c r="H61" s="433"/>
      <c r="I61" s="433"/>
      <c r="J61" s="433"/>
      <c r="K61" s="635"/>
      <c r="L61" s="635" t="str">
        <f>IF(IF($AT61&lt;&gt;"",VLOOKUP(CONCATENATE($AT61,$AU61,$AV61,$F61),'SKU Dist'!$E$2:$X$200,'SKU Dist'!F$1,FALSE),"")=0,"",IF($AT61&lt;&gt;"",VLOOKUP(CONCATENATE($AT61,$AU61,$AV61,$F61),'SKU Dist'!$E$2:$X$200,'SKU Dist'!F$1,FALSE),""))</f>
        <v/>
      </c>
      <c r="M61" s="635" t="str">
        <f>IF(IF($AT61&lt;&gt;"",VLOOKUP(CONCATENATE($AT61,$AU61,$AV61,$F61),'SKU Dist'!$E$2:$X$200,'SKU Dist'!G$1,FALSE),"")=0,"",IF($AT61&lt;&gt;"",VLOOKUP(CONCATENATE($AT61,$AU61,$AV61,$F61),'SKU Dist'!$E$2:$X$200,'SKU Dist'!G$1,FALSE),""))</f>
        <v/>
      </c>
      <c r="N61" s="635" t="str">
        <f>IF(IF($AT61&lt;&gt;"",VLOOKUP(CONCATENATE($AT61,$AU61,$AV61,$F61),'SKU Dist'!$E$2:$X$200,'SKU Dist'!H$1,FALSE),"")=0,"",IF($AT61&lt;&gt;"",VLOOKUP(CONCATENATE($AT61,$AU61,$AV61,$F61),'SKU Dist'!$E$2:$X$200,'SKU Dist'!H$1,FALSE),""))</f>
        <v/>
      </c>
      <c r="O61" s="635" t="str">
        <f>IF(IF($AT61&lt;&gt;"",VLOOKUP(CONCATENATE($AT61,$AU61,$AV61,$F61),'SKU Dist'!$E$2:$X$200,'SKU Dist'!I$1,FALSE),"")=0,"",IF($AT61&lt;&gt;"",VLOOKUP(CONCATENATE($AT61,$AU61,$AV61,$F61),'SKU Dist'!$E$2:$X$200,'SKU Dist'!I$1,FALSE),""))</f>
        <v/>
      </c>
      <c r="P61" s="635" t="str">
        <f>IF(IF($AT61&lt;&gt;"",VLOOKUP(CONCATENATE($AT61,$AU61,$AV61,$F61),'SKU Dist'!$E$2:$X$200,'SKU Dist'!J$1,FALSE),"")=0,"",IF($AT61&lt;&gt;"",VLOOKUP(CONCATENATE($AT61,$AU61,$AV61,$F61),'SKU Dist'!$E$2:$X$200,'SKU Dist'!J$1,FALSE),""))</f>
        <v/>
      </c>
      <c r="Q61" s="635" t="str">
        <f>IF(IF($AT61&lt;&gt;"",VLOOKUP(CONCATENATE($AT61,$AU61,$AV61,$F61),'SKU Dist'!$E$2:$X$200,'SKU Dist'!K$1,FALSE),"")=0,"",IF($AT61&lt;&gt;"",VLOOKUP(CONCATENATE($AT61,$AU61,$AV61,$F61),'SKU Dist'!$E$2:$X$200,'SKU Dist'!K$1,FALSE),""))</f>
        <v/>
      </c>
      <c r="R61" s="635" t="str">
        <f>IF(IF($AT61&lt;&gt;"",VLOOKUP(CONCATENATE($AT61,$AU61,$AV61,$F61),'SKU Dist'!$E$2:$X$200,'SKU Dist'!L$1,FALSE),"")=0,"",IF($AT61&lt;&gt;"",VLOOKUP(CONCATENATE($AT61,$AU61,$AV61,$F61),'SKU Dist'!$E$2:$X$200,'SKU Dist'!L$1,FALSE),""))</f>
        <v/>
      </c>
      <c r="S61" s="635" t="str">
        <f>IF(IF($AT61&lt;&gt;"",VLOOKUP(CONCATENATE($AT61,$AU61,$AV61,$F61),'SKU Dist'!$E$2:$X$200,'SKU Dist'!M$1,FALSE),"")=0,"",IF($AT61&lt;&gt;"",VLOOKUP(CONCATENATE($AT61,$AU61,$AV61,$F61),'SKU Dist'!$E$2:$X$200,'SKU Dist'!M$1,FALSE),""))</f>
        <v/>
      </c>
      <c r="T61" s="635" t="str">
        <f>IF(IF($AT61&lt;&gt;"",VLOOKUP(CONCATENATE($AT61,$AU61,$AV61,$F61),'SKU Dist'!$E$2:$X$200,'SKU Dist'!N$1,FALSE),"")=0,"",IF($AT61&lt;&gt;"",VLOOKUP(CONCATENATE($AT61,$AU61,$AV61,$F61),'SKU Dist'!$E$2:$X$200,'SKU Dist'!N$1,FALSE),""))</f>
        <v/>
      </c>
      <c r="U61" s="635" t="str">
        <f>IF(IF($AT61&lt;&gt;"",VLOOKUP(CONCATENATE($AT61,$AU61,$AV61,$F61),'SKU Dist'!$E$2:$X$200,'SKU Dist'!O$1,FALSE),"")=0,"",IF($AT61&lt;&gt;"",VLOOKUP(CONCATENATE($AT61,$AU61,$AV61,$F61),'SKU Dist'!$E$2:$X$200,'SKU Dist'!O$1,FALSE),""))</f>
        <v/>
      </c>
      <c r="V61" s="635" t="str">
        <f>IF(IF($AT61&lt;&gt;"",VLOOKUP(CONCATENATE($AT61,$AU61,$AV61,$F61),'SKU Dist'!$E$2:$X$200,'SKU Dist'!P$1,FALSE),"")=0,"",IF($AT61&lt;&gt;"",VLOOKUP(CONCATENATE($AT61,$AU61,$AV61,$F61),'SKU Dist'!$E$2:$X$200,'SKU Dist'!P$1,FALSE),""))</f>
        <v/>
      </c>
      <c r="W61" s="635" t="str">
        <f>IF(IF($AT61&lt;&gt;"",VLOOKUP(CONCATENATE($AT61,$AU61,$AV61,$F61),'SKU Dist'!$E$2:$X$200,'SKU Dist'!Q$1,FALSE),"")=0,"",IF($AT61&lt;&gt;"",VLOOKUP(CONCATENATE($AT61,$AU61,$AV61,$F61),'SKU Dist'!$E$2:$X$200,'SKU Dist'!Q$1,FALSE),""))</f>
        <v/>
      </c>
      <c r="X61" s="635" t="str">
        <f>IF(IF($AT61&lt;&gt;"",VLOOKUP(CONCATENATE($AT61,$AU61,$AV61,$F61),'SKU Dist'!$E$2:$X$200,'SKU Dist'!R$1,FALSE),"")=0,"",IF($AT61&lt;&gt;"",VLOOKUP(CONCATENATE($AT61,$AU61,$AV61,$F61),'SKU Dist'!$E$2:$X$200,'SKU Dist'!R$1,FALSE),""))</f>
        <v/>
      </c>
      <c r="Y61" s="434" t="str">
        <f>IF(IF($AT61&lt;&gt;"",VLOOKUP(CONCATENATE($AT61,$AU61,$AV61,$F61),'SKU Dist'!$E$2:$X$200,'SKU Dist'!S$1,FALSE),"")=0,"",IF($AT61&lt;&gt;"",VLOOKUP(CONCATENATE($AT61,$AU61,$AV61,$F61),'SKU Dist'!$E$2:$X$200,'SKU Dist'!S$1,FALSE),""))</f>
        <v/>
      </c>
      <c r="Z61" s="635" t="str">
        <f>IF(IF($AT61&lt;&gt;"",VLOOKUP(CONCATENATE($AT61,$AU61,$AV61,$F61),'SKU Dist'!$E$2:$X$200,'SKU Dist'!T$1,FALSE),"")=0,"",IF($AT61&lt;&gt;"",VLOOKUP(CONCATENATE($AT61,$AU61,$AV61,$F61),'SKU Dist'!$E$2:$X$200,'SKU Dist'!T$1,FALSE),""))</f>
        <v/>
      </c>
      <c r="AA61" s="390" t="str">
        <f>IF(IF($AT61&lt;&gt;"",VLOOKUP(CONCATENATE($AT61,$AU61,$AV61,$F61),'SKU Dist'!$E$2:$X$200,'SKU Dist'!U$1,FALSE),"")=0,"",IF($AT61&lt;&gt;"",VLOOKUP(CONCATENATE($AT61,$AU61,$AV61,$F61),'SKU Dist'!$E$2:$X$200,'SKU Dist'!U$1,FALSE),""))</f>
        <v/>
      </c>
      <c r="AB61" s="390"/>
      <c r="AC61" s="390"/>
      <c r="AD61" s="390"/>
      <c r="AE61" s="434"/>
      <c r="AF61" s="434"/>
      <c r="AG61" s="803">
        <f t="shared" ref="AG61:AG62" si="50">SUM(G61:AF61)</f>
        <v>0</v>
      </c>
      <c r="AH61" s="814">
        <v>102.5</v>
      </c>
      <c r="AI61" s="948">
        <f t="shared" ref="AI61:AI62" si="51">AG61*AH61</f>
        <v>0</v>
      </c>
      <c r="AJ61" s="931"/>
      <c r="AT61" s="222"/>
      <c r="AU61" s="206" t="s">
        <v>9</v>
      </c>
      <c r="AV61" s="152" t="s">
        <v>17</v>
      </c>
    </row>
    <row r="62" spans="1:48" ht="15.75" thickBot="1" x14ac:dyDescent="0.25">
      <c r="A62" s="789"/>
      <c r="B62" s="1034"/>
      <c r="C62" s="862" t="s">
        <v>257</v>
      </c>
      <c r="D62" s="874" t="s">
        <v>259</v>
      </c>
      <c r="E62" s="901" t="s">
        <v>269</v>
      </c>
      <c r="F62" s="902" t="s">
        <v>35</v>
      </c>
      <c r="G62" s="880"/>
      <c r="H62" s="393"/>
      <c r="I62" s="393"/>
      <c r="J62" s="393"/>
      <c r="K62" s="636"/>
      <c r="L62" s="636" t="str">
        <f>IF(IF($AT62&lt;&gt;"",VLOOKUP(CONCATENATE($AT62,$AU62,$AV62,$F62),'SKU Dist'!$E$2:$X$200,'SKU Dist'!F$1,FALSE),"")=0,"",IF($AT62&lt;&gt;"",VLOOKUP(CONCATENATE($AT62,$AU62,$AV62,$F62),'SKU Dist'!$E$2:$X$200,'SKU Dist'!F$1,FALSE),""))</f>
        <v/>
      </c>
      <c r="M62" s="636" t="str">
        <f>IF(IF($AT62&lt;&gt;"",VLOOKUP(CONCATENATE($AT62,$AU62,$AV62,$F62),'SKU Dist'!$E$2:$X$200,'SKU Dist'!G$1,FALSE),"")=0,"",IF($AT62&lt;&gt;"",VLOOKUP(CONCATENATE($AT62,$AU62,$AV62,$F62),'SKU Dist'!$E$2:$X$200,'SKU Dist'!G$1,FALSE),""))</f>
        <v/>
      </c>
      <c r="N62" s="636" t="str">
        <f>IF(IF($AT62&lt;&gt;"",VLOOKUP(CONCATENATE($AT62,$AU62,$AV62,$F62),'SKU Dist'!$E$2:$X$200,'SKU Dist'!H$1,FALSE),"")=0,"",IF($AT62&lt;&gt;"",VLOOKUP(CONCATENATE($AT62,$AU62,$AV62,$F62),'SKU Dist'!$E$2:$X$200,'SKU Dist'!H$1,FALSE),""))</f>
        <v/>
      </c>
      <c r="O62" s="636" t="str">
        <f>IF(IF($AT62&lt;&gt;"",VLOOKUP(CONCATENATE($AT62,$AU62,$AV62,$F62),'SKU Dist'!$E$2:$X$200,'SKU Dist'!I$1,FALSE),"")=0,"",IF($AT62&lt;&gt;"",VLOOKUP(CONCATENATE($AT62,$AU62,$AV62,$F62),'SKU Dist'!$E$2:$X$200,'SKU Dist'!I$1,FALSE),""))</f>
        <v/>
      </c>
      <c r="P62" s="636" t="str">
        <f>IF(IF($AT62&lt;&gt;"",VLOOKUP(CONCATENATE($AT62,$AU62,$AV62,$F62),'SKU Dist'!$E$2:$X$200,'SKU Dist'!J$1,FALSE),"")=0,"",IF($AT62&lt;&gt;"",VLOOKUP(CONCATENATE($AT62,$AU62,$AV62,$F62),'SKU Dist'!$E$2:$X$200,'SKU Dist'!J$1,FALSE),""))</f>
        <v/>
      </c>
      <c r="Q62" s="636" t="str">
        <f>IF(IF($AT62&lt;&gt;"",VLOOKUP(CONCATENATE($AT62,$AU62,$AV62,$F62),'SKU Dist'!$E$2:$X$200,'SKU Dist'!K$1,FALSE),"")=0,"",IF($AT62&lt;&gt;"",VLOOKUP(CONCATENATE($AT62,$AU62,$AV62,$F62),'SKU Dist'!$E$2:$X$200,'SKU Dist'!K$1,FALSE),""))</f>
        <v/>
      </c>
      <c r="R62" s="636" t="str">
        <f>IF(IF($AT62&lt;&gt;"",VLOOKUP(CONCATENATE($AT62,$AU62,$AV62,$F62),'SKU Dist'!$E$2:$X$200,'SKU Dist'!L$1,FALSE),"")=0,"",IF($AT62&lt;&gt;"",VLOOKUP(CONCATENATE($AT62,$AU62,$AV62,$F62),'SKU Dist'!$E$2:$X$200,'SKU Dist'!L$1,FALSE),""))</f>
        <v/>
      </c>
      <c r="S62" s="636" t="str">
        <f>IF(IF($AT62&lt;&gt;"",VLOOKUP(CONCATENATE($AT62,$AU62,$AV62,$F62),'SKU Dist'!$E$2:$X$200,'SKU Dist'!M$1,FALSE),"")=0,"",IF($AT62&lt;&gt;"",VLOOKUP(CONCATENATE($AT62,$AU62,$AV62,$F62),'SKU Dist'!$E$2:$X$200,'SKU Dist'!M$1,FALSE),""))</f>
        <v/>
      </c>
      <c r="T62" s="636" t="str">
        <f>IF(IF($AT62&lt;&gt;"",VLOOKUP(CONCATENATE($AT62,$AU62,$AV62,$F62),'SKU Dist'!$E$2:$X$200,'SKU Dist'!N$1,FALSE),"")=0,"",IF($AT62&lt;&gt;"",VLOOKUP(CONCATENATE($AT62,$AU62,$AV62,$F62),'SKU Dist'!$E$2:$X$200,'SKU Dist'!N$1,FALSE),""))</f>
        <v/>
      </c>
      <c r="U62" s="636" t="str">
        <f>IF(IF($AT62&lt;&gt;"",VLOOKUP(CONCATENATE($AT62,$AU62,$AV62,$F62),'SKU Dist'!$E$2:$X$200,'SKU Dist'!O$1,FALSE),"")=0,"",IF($AT62&lt;&gt;"",VLOOKUP(CONCATENATE($AT62,$AU62,$AV62,$F62),'SKU Dist'!$E$2:$X$200,'SKU Dist'!O$1,FALSE),""))</f>
        <v/>
      </c>
      <c r="V62" s="636" t="str">
        <f>IF(IF($AT62&lt;&gt;"",VLOOKUP(CONCATENATE($AT62,$AU62,$AV62,$F62),'SKU Dist'!$E$2:$X$200,'SKU Dist'!P$1,FALSE),"")=0,"",IF($AT62&lt;&gt;"",VLOOKUP(CONCATENATE($AT62,$AU62,$AV62,$F62),'SKU Dist'!$E$2:$X$200,'SKU Dist'!P$1,FALSE),""))</f>
        <v/>
      </c>
      <c r="W62" s="636" t="str">
        <f>IF(IF($AT62&lt;&gt;"",VLOOKUP(CONCATENATE($AT62,$AU62,$AV62,$F62),'SKU Dist'!$E$2:$X$200,'SKU Dist'!Q$1,FALSE),"")=0,"",IF($AT62&lt;&gt;"",VLOOKUP(CONCATENATE($AT62,$AU62,$AV62,$F62),'SKU Dist'!$E$2:$X$200,'SKU Dist'!Q$1,FALSE),""))</f>
        <v/>
      </c>
      <c r="X62" s="636" t="str">
        <f>IF(IF($AT62&lt;&gt;"",VLOOKUP(CONCATENATE($AT62,$AU62,$AV62,$F62),'SKU Dist'!$E$2:$X$200,'SKU Dist'!R$1,FALSE),"")=0,"",IF($AT62&lt;&gt;"",VLOOKUP(CONCATENATE($AT62,$AU62,$AV62,$F62),'SKU Dist'!$E$2:$X$200,'SKU Dist'!R$1,FALSE),""))</f>
        <v/>
      </c>
      <c r="Y62" s="391" t="str">
        <f>IF(IF($AT62&lt;&gt;"",VLOOKUP(CONCATENATE($AT62,$AU62,$AV62,$F62),'SKU Dist'!$E$2:$X$200,'SKU Dist'!S$1,FALSE),"")=0,"",IF($AT62&lt;&gt;"",VLOOKUP(CONCATENATE($AT62,$AU62,$AV62,$F62),'SKU Dist'!$E$2:$X$200,'SKU Dist'!S$1,FALSE),""))</f>
        <v/>
      </c>
      <c r="Z62" s="636" t="str">
        <f>IF(IF($AT62&lt;&gt;"",VLOOKUP(CONCATENATE($AT62,$AU62,$AV62,$F62),'SKU Dist'!$E$2:$X$200,'SKU Dist'!T$1,FALSE),"")=0,"",IF($AT62&lt;&gt;"",VLOOKUP(CONCATENATE($AT62,$AU62,$AV62,$F62),'SKU Dist'!$E$2:$X$200,'SKU Dist'!T$1,FALSE),""))</f>
        <v/>
      </c>
      <c r="AA62" s="391" t="str">
        <f>IF(IF($AT62&lt;&gt;"",VLOOKUP(CONCATENATE($AT62,$AU62,$AV62,$F62),'SKU Dist'!$E$2:$X$200,'SKU Dist'!U$1,FALSE),"")=0,"",IF($AT62&lt;&gt;"",VLOOKUP(CONCATENATE($AT62,$AU62,$AV62,$F62),'SKU Dist'!$E$2:$X$200,'SKU Dist'!U$1,FALSE),""))</f>
        <v/>
      </c>
      <c r="AB62" s="391"/>
      <c r="AC62" s="391"/>
      <c r="AD62" s="391"/>
      <c r="AE62" s="391"/>
      <c r="AF62" s="391"/>
      <c r="AG62" s="917">
        <f t="shared" si="50"/>
        <v>0</v>
      </c>
      <c r="AH62" s="824">
        <v>102.5</v>
      </c>
      <c r="AI62" s="949">
        <f t="shared" si="51"/>
        <v>0</v>
      </c>
      <c r="AJ62" s="933"/>
      <c r="AT62" s="222"/>
      <c r="AU62" s="206" t="s">
        <v>9</v>
      </c>
      <c r="AV62" s="152" t="s">
        <v>17</v>
      </c>
    </row>
    <row r="63" spans="1:48" ht="15.75" customHeight="1" x14ac:dyDescent="0.25">
      <c r="A63" s="751" t="s">
        <v>16</v>
      </c>
      <c r="B63" s="1112"/>
      <c r="C63" s="865" t="s">
        <v>257</v>
      </c>
      <c r="D63" s="877" t="s">
        <v>259</v>
      </c>
      <c r="E63" s="909" t="s">
        <v>273</v>
      </c>
      <c r="F63" s="899" t="s">
        <v>10</v>
      </c>
      <c r="G63" s="642"/>
      <c r="H63" s="432"/>
      <c r="I63" s="432"/>
      <c r="J63" s="432"/>
      <c r="K63" s="432"/>
      <c r="L63" s="432"/>
      <c r="M63" s="432"/>
      <c r="N63" s="432"/>
      <c r="O63" s="432"/>
      <c r="P63" s="413" t="str">
        <f>IF(IF($AT63&lt;&gt;"",VLOOKUP(CONCATENATE($AT63,$AU63,$AV63,$F63),'SKU Dist'!$E$2:$X$200,'SKU Dist'!J$1,FALSE),"")=0,"",IF($AT63&lt;&gt;"",VLOOKUP(CONCATENATE($AT63,$AU63,$AV63,$F63),'SKU Dist'!$E$2:$X$200,'SKU Dist'!J$1,FALSE),""))</f>
        <v/>
      </c>
      <c r="Q63" s="413" t="str">
        <f>IF(IF($AT63&lt;&gt;"",VLOOKUP(CONCATENATE($AT63,$AU63,$AV63,$F63),'SKU Dist'!$E$2:$X$200,'SKU Dist'!K$1,FALSE),"")=0,"",IF($AT63&lt;&gt;"",VLOOKUP(CONCATENATE($AT63,$AU63,$AV63,$F63),'SKU Dist'!$E$2:$X$200,'SKU Dist'!K$1,FALSE),""))</f>
        <v/>
      </c>
      <c r="R63" s="413" t="str">
        <f>IF(IF($AT63&lt;&gt;"",VLOOKUP(CONCATENATE($AT63,$AU63,$AV63,$F63),'SKU Dist'!$E$2:$X$200,'SKU Dist'!L$1,FALSE),"")=0,"",IF($AT63&lt;&gt;"",VLOOKUP(CONCATENATE($AT63,$AU63,$AV63,$F63),'SKU Dist'!$E$2:$X$200,'SKU Dist'!L$1,FALSE),""))</f>
        <v/>
      </c>
      <c r="S63" s="413" t="str">
        <f>IF(IF($AT63&lt;&gt;"",VLOOKUP(CONCATENATE($AT63,$AU63,$AV63,$F63),'SKU Dist'!$E$2:$X$200,'SKU Dist'!M$1,FALSE),"")=0,"",IF($AT63&lt;&gt;"",VLOOKUP(CONCATENATE($AT63,$AU63,$AV63,$F63),'SKU Dist'!$E$2:$X$200,'SKU Dist'!M$1,FALSE),""))</f>
        <v/>
      </c>
      <c r="T63" s="413" t="str">
        <f>IF(IF($AT63&lt;&gt;"",VLOOKUP(CONCATENATE($AT63,$AU63,$AV63,$F63),'SKU Dist'!$E$2:$X$200,'SKU Dist'!N$1,FALSE),"")=0,"",IF($AT63&lt;&gt;"",VLOOKUP(CONCATENATE($AT63,$AU63,$AV63,$F63),'SKU Dist'!$E$2:$X$200,'SKU Dist'!N$1,FALSE),""))</f>
        <v/>
      </c>
      <c r="U63" s="413" t="str">
        <f>IF(IF($AT63&lt;&gt;"",VLOOKUP(CONCATENATE($AT63,$AU63,$AV63,$F63),'SKU Dist'!$E$2:$X$200,'SKU Dist'!O$1,FALSE),"")=0,"",IF($AT63&lt;&gt;"",VLOOKUP(CONCATENATE($AT63,$AU63,$AV63,$F63),'SKU Dist'!$E$2:$X$200,'SKU Dist'!O$1,FALSE),""))</f>
        <v/>
      </c>
      <c r="V63" s="413" t="str">
        <f>IF(IF($AT63&lt;&gt;"",VLOOKUP(CONCATENATE($AT63,$AU63,$AV63,$F63),'SKU Dist'!$E$2:$X$200,'SKU Dist'!P$1,FALSE),"")=0,"",IF($AT63&lt;&gt;"",VLOOKUP(CONCATENATE($AT63,$AU63,$AV63,$F63),'SKU Dist'!$E$2:$X$200,'SKU Dist'!P$1,FALSE),""))</f>
        <v/>
      </c>
      <c r="W63" s="413" t="str">
        <f>IF(IF($AT63&lt;&gt;"",VLOOKUP(CONCATENATE($AT63,$AU63,$AV63,$F63),'SKU Dist'!$E$2:$X$200,'SKU Dist'!Q$1,FALSE),"")=0,"",IF($AT63&lt;&gt;"",VLOOKUP(CONCATENATE($AT63,$AU63,$AV63,$F63),'SKU Dist'!$E$2:$X$200,'SKU Dist'!Q$1,FALSE),""))</f>
        <v/>
      </c>
      <c r="X63" s="413" t="str">
        <f>IF(IF($AT63&lt;&gt;"",VLOOKUP(CONCATENATE($AT63,$AU63,$AV63,$F63),'SKU Dist'!$E$2:$X$200,'SKU Dist'!R$1,FALSE),"")=0,"",IF($AT63&lt;&gt;"",VLOOKUP(CONCATENATE($AT63,$AU63,$AV63,$F63),'SKU Dist'!$E$2:$X$200,'SKU Dist'!R$1,FALSE),""))</f>
        <v/>
      </c>
      <c r="Y63" s="413" t="str">
        <f>IF(IF($AT63&lt;&gt;"",VLOOKUP(CONCATENATE($AT63,$AU63,$AV63,$F63),'SKU Dist'!$E$2:$X$200,'SKU Dist'!S$1,FALSE),"")=0,"",IF($AT63&lt;&gt;"",VLOOKUP(CONCATENATE($AT63,$AU63,$AV63,$F63),'SKU Dist'!$E$2:$X$200,'SKU Dist'!S$1,FALSE),""))</f>
        <v/>
      </c>
      <c r="Z63" s="413" t="str">
        <f>IF(IF($AT63&lt;&gt;"",VLOOKUP(CONCATENATE($AT63,$AU63,$AV63,$F63),'SKU Dist'!$E$2:$X$200,'SKU Dist'!T$1,FALSE),"")=0,"",IF($AT63&lt;&gt;"",VLOOKUP(CONCATENATE($AT63,$AU63,$AV63,$F63),'SKU Dist'!$E$2:$X$200,'SKU Dist'!T$1,FALSE),""))</f>
        <v/>
      </c>
      <c r="AA63" s="413" t="str">
        <f>IF(IF($AT63&lt;&gt;"",VLOOKUP(CONCATENATE($AT63,$AU63,$AV63,$F63),'SKU Dist'!$E$2:$X$200,'SKU Dist'!U$1,FALSE),"")=0,"",IF($AT63&lt;&gt;"",VLOOKUP(CONCATENATE($AT63,$AU63,$AV63,$F63),'SKU Dist'!$E$2:$X$200,'SKU Dist'!U$1,FALSE),""))</f>
        <v/>
      </c>
      <c r="AB63" s="413" t="str">
        <f>IF(IF($AT63&lt;&gt;"",VLOOKUP(CONCATENATE($AT63,$AU63,$AV63,$F63),'SKU Dist'!$E$2:$X$200,'SKU Dist'!V$1,FALSE),"")=0,"",IF($AT63&lt;&gt;"",VLOOKUP(CONCATENATE($AT63,$AU63,$AV63,$F63),'SKU Dist'!$E$2:$X$200,'SKU Dist'!V$1,FALSE),""))</f>
        <v/>
      </c>
      <c r="AC63" s="435"/>
      <c r="AD63" s="435"/>
      <c r="AE63" s="435"/>
      <c r="AF63" s="582"/>
      <c r="AG63" s="810">
        <f t="shared" ref="AG63" si="52">SUM(G63:AF63)</f>
        <v>0</v>
      </c>
      <c r="AH63" s="822">
        <v>60</v>
      </c>
      <c r="AI63" s="952">
        <f t="shared" si="0"/>
        <v>0</v>
      </c>
      <c r="AJ63" s="938"/>
      <c r="AT63" s="222" t="str">
        <f>IF(E63=E54,AT54,IF(B63="","",B63))</f>
        <v/>
      </c>
      <c r="AU63" s="206" t="s">
        <v>16</v>
      </c>
      <c r="AV63" s="206" t="s">
        <v>10</v>
      </c>
    </row>
    <row r="64" spans="1:48" ht="16.5" thickBot="1" x14ac:dyDescent="0.3">
      <c r="A64" s="653" t="s">
        <v>245</v>
      </c>
      <c r="B64" s="1031"/>
      <c r="C64" s="857" t="s">
        <v>257</v>
      </c>
      <c r="D64" s="868" t="s">
        <v>259</v>
      </c>
      <c r="E64" s="907" t="s">
        <v>273</v>
      </c>
      <c r="F64" s="887" t="s">
        <v>70</v>
      </c>
      <c r="G64" s="641"/>
      <c r="H64" s="392"/>
      <c r="I64" s="392"/>
      <c r="J64" s="392"/>
      <c r="K64" s="392"/>
      <c r="L64" s="392"/>
      <c r="M64" s="392"/>
      <c r="N64" s="392"/>
      <c r="O64" s="392"/>
      <c r="P64" s="392"/>
      <c r="Q64" s="392"/>
      <c r="R64" s="389" t="str">
        <f>IF(IF($AT64&lt;&gt;"",VLOOKUP(CONCATENATE($AT64,$AU64,$AV64,$F64),'SKU Dist'!$E$2:$X$200,'SKU Dist'!L$1,FALSE),"")=0,"",IF($AT64&lt;&gt;"",VLOOKUP(CONCATENATE($AT64,$AU64,$AV64,$F64),'SKU Dist'!$E$2:$X$200,'SKU Dist'!L$1,FALSE),""))</f>
        <v/>
      </c>
      <c r="S64" s="389" t="str">
        <f>IF(IF($AT64&lt;&gt;"",VLOOKUP(CONCATENATE($AT64,$AU64,$AV64,$F64),'SKU Dist'!$E$2:$X$200,'SKU Dist'!M$1,FALSE),"")=0,"",IF($AT64&lt;&gt;"",VLOOKUP(CONCATENATE($AT64,$AU64,$AV64,$F64),'SKU Dist'!$E$2:$X$200,'SKU Dist'!M$1,FALSE),""))</f>
        <v/>
      </c>
      <c r="T64" s="389" t="str">
        <f>IF(IF($AT64&lt;&gt;"",VLOOKUP(CONCATENATE($AT64,$AU64,$AV64,$F64),'SKU Dist'!$E$2:$X$200,'SKU Dist'!N$1,FALSE),"")=0,"",IF($AT64&lt;&gt;"",VLOOKUP(CONCATENATE($AT64,$AU64,$AV64,$F64),'SKU Dist'!$E$2:$X$200,'SKU Dist'!N$1,FALSE),""))</f>
        <v/>
      </c>
      <c r="U64" s="389" t="str">
        <f>IF(IF($AT64&lt;&gt;"",VLOOKUP(CONCATENATE($AT64,$AU64,$AV64,$F64),'SKU Dist'!$E$2:$X$200,'SKU Dist'!O$1,FALSE),"")=0,"",IF($AT64&lt;&gt;"",VLOOKUP(CONCATENATE($AT64,$AU64,$AV64,$F64),'SKU Dist'!$E$2:$X$200,'SKU Dist'!O$1,FALSE),""))</f>
        <v/>
      </c>
      <c r="V64" s="389" t="str">
        <f>IF(IF($AT64&lt;&gt;"",VLOOKUP(CONCATENATE($AT64,$AU64,$AV64,$F64),'SKU Dist'!$E$2:$X$200,'SKU Dist'!P$1,FALSE),"")=0,"",IF($AT64&lt;&gt;"",VLOOKUP(CONCATENATE($AT64,$AU64,$AV64,$F64),'SKU Dist'!$E$2:$X$200,'SKU Dist'!P$1,FALSE),""))</f>
        <v/>
      </c>
      <c r="W64" s="389" t="str">
        <f>IF(IF($AT64&lt;&gt;"",VLOOKUP(CONCATENATE($AT64,$AU64,$AV64,$F64),'SKU Dist'!$E$2:$X$200,'SKU Dist'!Q$1,FALSE),"")=0,"",IF($AT64&lt;&gt;"",VLOOKUP(CONCATENATE($AT64,$AU64,$AV64,$F64),'SKU Dist'!$E$2:$X$200,'SKU Dist'!Q$1,FALSE),""))</f>
        <v/>
      </c>
      <c r="X64" s="389" t="str">
        <f>IF(IF($AT64&lt;&gt;"",VLOOKUP(CONCATENATE($AT64,$AU64,$AV64,$F64),'SKU Dist'!$E$2:$X$200,'SKU Dist'!R$1,FALSE),"")=0,"",IF($AT64&lt;&gt;"",VLOOKUP(CONCATENATE($AT64,$AU64,$AV64,$F64),'SKU Dist'!$E$2:$X$200,'SKU Dist'!R$1,FALSE),""))</f>
        <v/>
      </c>
      <c r="Y64" s="389" t="str">
        <f>IF(IF($AT64&lt;&gt;"",VLOOKUP(CONCATENATE($AT64,$AU64,$AV64,$F64),'SKU Dist'!$E$2:$X$200,'SKU Dist'!S$1,FALSE),"")=0,"",IF($AT64&lt;&gt;"",VLOOKUP(CONCATENATE($AT64,$AU64,$AV64,$F64),'SKU Dist'!$E$2:$X$200,'SKU Dist'!S$1,FALSE),""))</f>
        <v/>
      </c>
      <c r="Z64" s="389" t="str">
        <f>IF(IF($AT64&lt;&gt;"",VLOOKUP(CONCATENATE($AT64,$AU64,$AV64,$F64),'SKU Dist'!$E$2:$X$200,'SKU Dist'!T$1,FALSE),"")=0,"",IF($AT64&lt;&gt;"",VLOOKUP(CONCATENATE($AT64,$AU64,$AV64,$F64),'SKU Dist'!$E$2:$X$200,'SKU Dist'!T$1,FALSE),""))</f>
        <v/>
      </c>
      <c r="AA64" s="389" t="str">
        <f>IF(IF($AT64&lt;&gt;"",VLOOKUP(CONCATENATE($AT64,$AU64,$AV64,$F64),'SKU Dist'!$E$2:$X$200,'SKU Dist'!U$1,FALSE),"")=0,"",IF($AT64&lt;&gt;"",VLOOKUP(CONCATENATE($AT64,$AU64,$AV64,$F64),'SKU Dist'!$E$2:$X$200,'SKU Dist'!U$1,FALSE),""))</f>
        <v/>
      </c>
      <c r="AB64" s="389" t="str">
        <f>IF(IF($AT64&lt;&gt;"",VLOOKUP(CONCATENATE($AT64,$AU64,$AV64,$F64),'SKU Dist'!$E$2:$X$200,'SKU Dist'!V$1,FALSE),"")=0,"",IF($AT64&lt;&gt;"",VLOOKUP(CONCATENATE($AT64,$AU64,$AV64,$F64),'SKU Dist'!$E$2:$X$200,'SKU Dist'!V$1,FALSE),""))</f>
        <v/>
      </c>
      <c r="AC64" s="390"/>
      <c r="AD64" s="390"/>
      <c r="AE64" s="390"/>
      <c r="AF64" s="585"/>
      <c r="AG64" s="810">
        <f t="shared" ref="AG64" si="53">SUM(G64:AF64)</f>
        <v>0</v>
      </c>
      <c r="AH64" s="822">
        <v>60</v>
      </c>
      <c r="AI64" s="952">
        <f t="shared" si="0"/>
        <v>0</v>
      </c>
      <c r="AJ64" s="938"/>
      <c r="AT64" s="222" t="str">
        <f t="shared" si="1"/>
        <v/>
      </c>
      <c r="AU64" s="206" t="s">
        <v>16</v>
      </c>
      <c r="AV64" s="206" t="s">
        <v>10</v>
      </c>
    </row>
    <row r="65" spans="1:48" ht="15.75" x14ac:dyDescent="0.25">
      <c r="A65" s="656">
        <f>SUM(AG63:AG66)</f>
        <v>0</v>
      </c>
      <c r="B65" s="1035"/>
      <c r="C65" s="861" t="s">
        <v>257</v>
      </c>
      <c r="D65" s="873" t="s">
        <v>259</v>
      </c>
      <c r="E65" s="900" t="s">
        <v>274</v>
      </c>
      <c r="F65" s="906" t="s">
        <v>10</v>
      </c>
      <c r="G65" s="642"/>
      <c r="H65" s="432"/>
      <c r="I65" s="432"/>
      <c r="J65" s="646"/>
      <c r="K65" s="646"/>
      <c r="L65" s="646" t="str">
        <f>IF(IF($AT65&lt;&gt;"",VLOOKUP(CONCATENATE($AT65,$AU65,$AV65,$F65),'SKU Dist'!$E$2:$X$200,'SKU Dist'!F$1,FALSE),"")=0,"",IF($AT65&lt;&gt;"",VLOOKUP(CONCATENATE($AT65,$AU65,$AV65,$F65),'SKU Dist'!$E$2:$X$200,'SKU Dist'!F$1,FALSE),""))</f>
        <v/>
      </c>
      <c r="M65" s="646" t="str">
        <f>IF(IF($AT65&lt;&gt;"",VLOOKUP(CONCATENATE($AT65,$AU65,$AV65,$F65),'SKU Dist'!$E$2:$X$200,'SKU Dist'!G$1,FALSE),"")=0,"",IF($AT65&lt;&gt;"",VLOOKUP(CONCATENATE($AT65,$AU65,$AV65,$F65),'SKU Dist'!$E$2:$X$200,'SKU Dist'!G$1,FALSE),""))</f>
        <v/>
      </c>
      <c r="N65" s="646" t="str">
        <f>IF(IF($AT65&lt;&gt;"",VLOOKUP(CONCATENATE($AT65,$AU65,$AV65,$F65),'SKU Dist'!$E$2:$X$200,'SKU Dist'!H$1,FALSE),"")=0,"",IF($AT65&lt;&gt;"",VLOOKUP(CONCATENATE($AT65,$AU65,$AV65,$F65),'SKU Dist'!$E$2:$X$200,'SKU Dist'!H$1,FALSE),""))</f>
        <v/>
      </c>
      <c r="O65" s="646" t="str">
        <f>IF(IF($AT65&lt;&gt;"",VLOOKUP(CONCATENATE($AT65,$AU65,$AV65,$F65),'SKU Dist'!$E$2:$X$200,'SKU Dist'!I$1,FALSE),"")=0,"",IF($AT65&lt;&gt;"",VLOOKUP(CONCATENATE($AT65,$AU65,$AV65,$F65),'SKU Dist'!$E$2:$X$200,'SKU Dist'!I$1,FALSE),""))</f>
        <v/>
      </c>
      <c r="P65" s="646" t="str">
        <f>IF(IF($AT65&lt;&gt;"",VLOOKUP(CONCATENATE($AT65,$AU65,$AV65,$F65),'SKU Dist'!$E$2:$X$200,'SKU Dist'!J$1,FALSE),"")=0,"",IF($AT65&lt;&gt;"",VLOOKUP(CONCATENATE($AT65,$AU65,$AV65,$F65),'SKU Dist'!$E$2:$X$200,'SKU Dist'!J$1,FALSE),""))</f>
        <v/>
      </c>
      <c r="Q65" s="646" t="str">
        <f>IF(IF($AT65&lt;&gt;"",VLOOKUP(CONCATENATE($AT65,$AU65,$AV65,$F65),'SKU Dist'!$E$2:$X$200,'SKU Dist'!K$1,FALSE),"")=0,"",IF($AT65&lt;&gt;"",VLOOKUP(CONCATENATE($AT65,$AU65,$AV65,$F65),'SKU Dist'!$E$2:$X$200,'SKU Dist'!K$1,FALSE),""))</f>
        <v/>
      </c>
      <c r="R65" s="646" t="str">
        <f>IF(IF($AT65&lt;&gt;"",VLOOKUP(CONCATENATE($AT65,$AU65,$AV65,$F65),'SKU Dist'!$E$2:$X$200,'SKU Dist'!L$1,FALSE),"")=0,"",IF($AT65&lt;&gt;"",VLOOKUP(CONCATENATE($AT65,$AU65,$AV65,$F65),'SKU Dist'!$E$2:$X$200,'SKU Dist'!L$1,FALSE),""))</f>
        <v/>
      </c>
      <c r="S65" s="646" t="str">
        <f>IF(IF($AT65&lt;&gt;"",VLOOKUP(CONCATENATE($AT65,$AU65,$AV65,$F65),'SKU Dist'!$E$2:$X$200,'SKU Dist'!M$1,FALSE),"")=0,"",IF($AT65&lt;&gt;"",VLOOKUP(CONCATENATE($AT65,$AU65,$AV65,$F65),'SKU Dist'!$E$2:$X$200,'SKU Dist'!M$1,FALSE),""))</f>
        <v/>
      </c>
      <c r="T65" s="646" t="str">
        <f>IF(IF($AT65&lt;&gt;"",VLOOKUP(CONCATENATE($AT65,$AU65,$AV65,$F65),'SKU Dist'!$E$2:$X$200,'SKU Dist'!N$1,FALSE),"")=0,"",IF($AT65&lt;&gt;"",VLOOKUP(CONCATENATE($AT65,$AU65,$AV65,$F65),'SKU Dist'!$E$2:$X$200,'SKU Dist'!N$1,FALSE),""))</f>
        <v/>
      </c>
      <c r="U65" s="646" t="str">
        <f>IF(IF($AT65&lt;&gt;"",VLOOKUP(CONCATENATE($AT65,$AU65,$AV65,$F65),'SKU Dist'!$E$2:$X$200,'SKU Dist'!O$1,FALSE),"")=0,"",IF($AT65&lt;&gt;"",VLOOKUP(CONCATENATE($AT65,$AU65,$AV65,$F65),'SKU Dist'!$E$2:$X$200,'SKU Dist'!O$1,FALSE),""))</f>
        <v/>
      </c>
      <c r="V65" s="646" t="str">
        <f>IF(IF($AT65&lt;&gt;"",VLOOKUP(CONCATENATE($AT65,$AU65,$AV65,$F65),'SKU Dist'!$E$2:$X$200,'SKU Dist'!P$1,FALSE),"")=0,"",IF($AT65&lt;&gt;"",VLOOKUP(CONCATENATE($AT65,$AU65,$AV65,$F65),'SKU Dist'!$E$2:$X$200,'SKU Dist'!P$1,FALSE),""))</f>
        <v/>
      </c>
      <c r="W65" s="646" t="str">
        <f>IF(IF($AT65&lt;&gt;"",VLOOKUP(CONCATENATE($AT65,$AU65,$AV65,$F65),'SKU Dist'!$E$2:$X$200,'SKU Dist'!Q$1,FALSE),"")=0,"",IF($AT65&lt;&gt;"",VLOOKUP(CONCATENATE($AT65,$AU65,$AV65,$F65),'SKU Dist'!$E$2:$X$200,'SKU Dist'!Q$1,FALSE),""))</f>
        <v/>
      </c>
      <c r="X65" s="646" t="str">
        <f>IF(IF($AT65&lt;&gt;"",VLOOKUP(CONCATENATE($AT65,$AU65,$AV65,$F65),'SKU Dist'!$E$2:$X$200,'SKU Dist'!R$1,FALSE),"")=0,"",IF($AT65&lt;&gt;"",VLOOKUP(CONCATENATE($AT65,$AU65,$AV65,$F65),'SKU Dist'!$E$2:$X$200,'SKU Dist'!R$1,FALSE),""))</f>
        <v/>
      </c>
      <c r="Y65" s="720"/>
      <c r="Z65" s="646" t="str">
        <f>IF(IF($AT65&lt;&gt;"",VLOOKUP(CONCATENATE($AT65,$AU65,$AV65,$F65),'SKU Dist'!$E$2:$X$200,'SKU Dist'!T$1,FALSE),"")=0,"",IF($AT65&lt;&gt;"",VLOOKUP(CONCATENATE($AT65,$AU65,$AV65,$F65),'SKU Dist'!$E$2:$X$200,'SKU Dist'!T$1,FALSE),""))</f>
        <v/>
      </c>
      <c r="AA65" s="435"/>
      <c r="AB65" s="435"/>
      <c r="AC65" s="435"/>
      <c r="AD65" s="435"/>
      <c r="AE65" s="435"/>
      <c r="AF65" s="582"/>
      <c r="AG65" s="805">
        <f t="shared" ref="AG65" si="54">SUM(G65:AF65)</f>
        <v>0</v>
      </c>
      <c r="AH65" s="814">
        <v>60</v>
      </c>
      <c r="AI65" s="948">
        <f t="shared" ref="AI65:AI66" si="55">AG65*AH65</f>
        <v>0</v>
      </c>
      <c r="AJ65" s="931"/>
      <c r="AT65" s="222" t="str">
        <f t="shared" si="1"/>
        <v/>
      </c>
      <c r="AU65" s="206" t="s">
        <v>16</v>
      </c>
      <c r="AV65" s="152" t="s">
        <v>17</v>
      </c>
    </row>
    <row r="66" spans="1:48" ht="16.5" thickBot="1" x14ac:dyDescent="0.3">
      <c r="A66" s="657">
        <f>SUM(AI63:AI66)</f>
        <v>0</v>
      </c>
      <c r="B66" s="1029"/>
      <c r="C66" s="861" t="s">
        <v>257</v>
      </c>
      <c r="D66" s="873" t="s">
        <v>259</v>
      </c>
      <c r="E66" s="900" t="s">
        <v>274</v>
      </c>
      <c r="F66" s="898" t="s">
        <v>17</v>
      </c>
      <c r="G66" s="644"/>
      <c r="H66" s="387"/>
      <c r="I66" s="387"/>
      <c r="J66" s="387"/>
      <c r="K66" s="387"/>
      <c r="L66" s="646" t="str">
        <f>IF(IF($AT66&lt;&gt;"",VLOOKUP(CONCATENATE($AT66,$AU66,$AV66,$F66),'SKU Dist'!$E$2:$X$200,'SKU Dist'!F$1,FALSE),"")=0,"",IF($AT66&lt;&gt;"",VLOOKUP(CONCATENATE($AT66,$AU66,$AV66,$F66),'SKU Dist'!$E$2:$X$200,'SKU Dist'!F$1,FALSE),""))</f>
        <v/>
      </c>
      <c r="M66" s="646" t="str">
        <f>IF(IF($AT66&lt;&gt;"",VLOOKUP(CONCATENATE($AT66,$AU66,$AV66,$F66),'SKU Dist'!$E$2:$X$200,'SKU Dist'!G$1,FALSE),"")=0,"",IF($AT66&lt;&gt;"",VLOOKUP(CONCATENATE($AT66,$AU66,$AV66,$F66),'SKU Dist'!$E$2:$X$200,'SKU Dist'!G$1,FALSE),""))</f>
        <v/>
      </c>
      <c r="N66" s="646" t="str">
        <f>IF(IF($AT66&lt;&gt;"",VLOOKUP(CONCATENATE($AT66,$AU66,$AV66,$F66),'SKU Dist'!$E$2:$X$200,'SKU Dist'!H$1,FALSE),"")=0,"",IF($AT66&lt;&gt;"",VLOOKUP(CONCATENATE($AT66,$AU66,$AV66,$F66),'SKU Dist'!$E$2:$X$200,'SKU Dist'!H$1,FALSE),""))</f>
        <v/>
      </c>
      <c r="O66" s="646" t="str">
        <f>IF(IF($AT66&lt;&gt;"",VLOOKUP(CONCATENATE($AT66,$AU66,$AV66,$F66),'SKU Dist'!$E$2:$X$200,'SKU Dist'!I$1,FALSE),"")=0,"",IF($AT66&lt;&gt;"",VLOOKUP(CONCATENATE($AT66,$AU66,$AV66,$F66),'SKU Dist'!$E$2:$X$200,'SKU Dist'!I$1,FALSE),""))</f>
        <v/>
      </c>
      <c r="P66" s="646" t="str">
        <f>IF(IF($AT66&lt;&gt;"",VLOOKUP(CONCATENATE($AT66,$AU66,$AV66,$F66),'SKU Dist'!$E$2:$X$200,'SKU Dist'!J$1,FALSE),"")=0,"",IF($AT66&lt;&gt;"",VLOOKUP(CONCATENATE($AT66,$AU66,$AV66,$F66),'SKU Dist'!$E$2:$X$200,'SKU Dist'!J$1,FALSE),""))</f>
        <v/>
      </c>
      <c r="Q66" s="646" t="str">
        <f>IF(IF($AT66&lt;&gt;"",VLOOKUP(CONCATENATE($AT66,$AU66,$AV66,$F66),'SKU Dist'!$E$2:$X$200,'SKU Dist'!K$1,FALSE),"")=0,"",IF($AT66&lt;&gt;"",VLOOKUP(CONCATENATE($AT66,$AU66,$AV66,$F66),'SKU Dist'!$E$2:$X$200,'SKU Dist'!K$1,FALSE),""))</f>
        <v/>
      </c>
      <c r="R66" s="646" t="str">
        <f>IF(IF($AT66&lt;&gt;"",VLOOKUP(CONCATENATE($AT66,$AU66,$AV66,$F66),'SKU Dist'!$E$2:$X$200,'SKU Dist'!L$1,FALSE),"")=0,"",IF($AT66&lt;&gt;"",VLOOKUP(CONCATENATE($AT66,$AU66,$AV66,$F66),'SKU Dist'!$E$2:$X$200,'SKU Dist'!L$1,FALSE),""))</f>
        <v/>
      </c>
      <c r="S66" s="646" t="str">
        <f>IF(IF($AT66&lt;&gt;"",VLOOKUP(CONCATENATE($AT66,$AU66,$AV66,$F66),'SKU Dist'!$E$2:$X$200,'SKU Dist'!M$1,FALSE),"")=0,"",IF($AT66&lt;&gt;"",VLOOKUP(CONCATENATE($AT66,$AU66,$AV66,$F66),'SKU Dist'!$E$2:$X$200,'SKU Dist'!M$1,FALSE),""))</f>
        <v/>
      </c>
      <c r="T66" s="646" t="str">
        <f>IF(IF($AT66&lt;&gt;"",VLOOKUP(CONCATENATE($AT66,$AU66,$AV66,$F66),'SKU Dist'!$E$2:$X$200,'SKU Dist'!N$1,FALSE),"")=0,"",IF($AT66&lt;&gt;"",VLOOKUP(CONCATENATE($AT66,$AU66,$AV66,$F66),'SKU Dist'!$E$2:$X$200,'SKU Dist'!N$1,FALSE),""))</f>
        <v/>
      </c>
      <c r="U66" s="646" t="str">
        <f>IF(IF($AT66&lt;&gt;"",VLOOKUP(CONCATENATE($AT66,$AU66,$AV66,$F66),'SKU Dist'!$E$2:$X$200,'SKU Dist'!O$1,FALSE),"")=0,"",IF($AT66&lt;&gt;"",VLOOKUP(CONCATENATE($AT66,$AU66,$AV66,$F66),'SKU Dist'!$E$2:$X$200,'SKU Dist'!O$1,FALSE),""))</f>
        <v/>
      </c>
      <c r="V66" s="646" t="str">
        <f>IF(IF($AT66&lt;&gt;"",VLOOKUP(CONCATENATE($AT66,$AU66,$AV66,$F66),'SKU Dist'!$E$2:$X$200,'SKU Dist'!P$1,FALSE),"")=0,"",IF($AT66&lt;&gt;"",VLOOKUP(CONCATENATE($AT66,$AU66,$AV66,$F66),'SKU Dist'!$E$2:$X$200,'SKU Dist'!P$1,FALSE),""))</f>
        <v/>
      </c>
      <c r="W66" s="646" t="str">
        <f>IF(IF($AT66&lt;&gt;"",VLOOKUP(CONCATENATE($AT66,$AU66,$AV66,$F66),'SKU Dist'!$E$2:$X$200,'SKU Dist'!Q$1,FALSE),"")=0,"",IF($AT66&lt;&gt;"",VLOOKUP(CONCATENATE($AT66,$AU66,$AV66,$F66),'SKU Dist'!$E$2:$X$200,'SKU Dist'!Q$1,FALSE),""))</f>
        <v/>
      </c>
      <c r="X66" s="646" t="str">
        <f>IF(IF($AT66&lt;&gt;"",VLOOKUP(CONCATENATE($AT66,$AU66,$AV66,$F66),'SKU Dist'!$E$2:$X$200,'SKU Dist'!R$1,FALSE),"")=0,"",IF($AT66&lt;&gt;"",VLOOKUP(CONCATENATE($AT66,$AU66,$AV66,$F66),'SKU Dist'!$E$2:$X$200,'SKU Dist'!R$1,FALSE),""))</f>
        <v/>
      </c>
      <c r="Y66" s="746"/>
      <c r="Z66" s="646" t="str">
        <f>IF(IF($AT66&lt;&gt;"",VLOOKUP(CONCATENATE($AT66,$AU66,$AV66,$F66),'SKU Dist'!$E$2:$X$200,'SKU Dist'!T$1,FALSE),"")=0,"",IF($AT66&lt;&gt;"",VLOOKUP(CONCATENATE($AT66,$AU66,$AV66,$F66),'SKU Dist'!$E$2:$X$200,'SKU Dist'!T$1,FALSE),""))</f>
        <v/>
      </c>
      <c r="AA66" s="388"/>
      <c r="AB66" s="388"/>
      <c r="AC66" s="388"/>
      <c r="AD66" s="388"/>
      <c r="AE66" s="388"/>
      <c r="AF66" s="584"/>
      <c r="AG66" s="805">
        <f t="shared" ref="AG66" si="56">SUM(G66:AF66)</f>
        <v>0</v>
      </c>
      <c r="AH66" s="814">
        <v>60</v>
      </c>
      <c r="AI66" s="948">
        <f t="shared" si="55"/>
        <v>0</v>
      </c>
      <c r="AJ66" s="931"/>
      <c r="AT66" s="222" t="str">
        <f t="shared" si="1"/>
        <v/>
      </c>
      <c r="AU66" s="206" t="s">
        <v>16</v>
      </c>
      <c r="AV66" s="152" t="s">
        <v>17</v>
      </c>
    </row>
    <row r="67" spans="1:48" ht="15.75" x14ac:dyDescent="0.25">
      <c r="A67" s="652" t="s">
        <v>16</v>
      </c>
      <c r="B67" s="1037"/>
      <c r="C67" s="856" t="s">
        <v>257</v>
      </c>
      <c r="D67" s="867" t="s">
        <v>259</v>
      </c>
      <c r="E67" s="884">
        <v>5195</v>
      </c>
      <c r="F67" s="885" t="s">
        <v>10</v>
      </c>
      <c r="G67" s="718"/>
      <c r="H67" s="719"/>
      <c r="I67" s="719"/>
      <c r="J67" s="443"/>
      <c r="K67" s="443"/>
      <c r="L67" s="443" t="str">
        <f>IF(IF($AT67&lt;&gt;"",VLOOKUP(CONCATENATE($AT67,$AU67,$AV67,$F67),'SKU Dist'!$E$2:$X$200,'SKU Dist'!F$1,FALSE),"")=0,"",IF($AT67&lt;&gt;"",VLOOKUP(CONCATENATE($AT67,$AU67,$AV67,$F67),'SKU Dist'!$E$2:$X$200,'SKU Dist'!F$1,FALSE),""))</f>
        <v/>
      </c>
      <c r="M67" s="443" t="str">
        <f>IF(IF($AT67&lt;&gt;"",VLOOKUP(CONCATENATE($AT67,$AU67,$AV67,$F67),'SKU Dist'!$E$2:$X$200,'SKU Dist'!G$1,FALSE),"")=0,"",IF($AT67&lt;&gt;"",VLOOKUP(CONCATENATE($AT67,$AU67,$AV67,$F67),'SKU Dist'!$E$2:$X$200,'SKU Dist'!G$1,FALSE),""))</f>
        <v/>
      </c>
      <c r="N67" s="443" t="str">
        <f>IF(IF($AT67&lt;&gt;"",VLOOKUP(CONCATENATE($AT67,$AU67,$AV67,$F67),'SKU Dist'!$E$2:$X$200,'SKU Dist'!H$1,FALSE),"")=0,"",IF($AT67&lt;&gt;"",VLOOKUP(CONCATENATE($AT67,$AU67,$AV67,$F67),'SKU Dist'!$E$2:$X$200,'SKU Dist'!H$1,FALSE),""))</f>
        <v/>
      </c>
      <c r="O67" s="443" t="str">
        <f>IF(IF($AT67&lt;&gt;"",VLOOKUP(CONCATENATE($AT67,$AU67,$AV67,$F67),'SKU Dist'!$E$2:$X$200,'SKU Dist'!I$1,FALSE),"")=0,"",IF($AT67&lt;&gt;"",VLOOKUP(CONCATENATE($AT67,$AU67,$AV67,$F67),'SKU Dist'!$E$2:$X$200,'SKU Dist'!I$1,FALSE),""))</f>
        <v/>
      </c>
      <c r="P67" s="443" t="str">
        <f>IF(IF($AT67&lt;&gt;"",VLOOKUP(CONCATENATE($AT67,$AU67,$AV67,$F67),'SKU Dist'!$E$2:$X$200,'SKU Dist'!J$1,FALSE),"")=0,"",IF($AT67&lt;&gt;"",VLOOKUP(CONCATENATE($AT67,$AU67,$AV67,$F67),'SKU Dist'!$E$2:$X$200,'SKU Dist'!J$1,FALSE),""))</f>
        <v/>
      </c>
      <c r="Q67" s="443" t="str">
        <f>IF(IF($AT67&lt;&gt;"",VLOOKUP(CONCATENATE($AT67,$AU67,$AV67,$F67),'SKU Dist'!$E$2:$X$200,'SKU Dist'!K$1,FALSE),"")=0,"",IF($AT67&lt;&gt;"",VLOOKUP(CONCATENATE($AT67,$AU67,$AV67,$F67),'SKU Dist'!$E$2:$X$200,'SKU Dist'!K$1,FALSE),""))</f>
        <v/>
      </c>
      <c r="R67" s="443" t="str">
        <f>IF(IF($AT67&lt;&gt;"",VLOOKUP(CONCATENATE($AT67,$AU67,$AV67,$F67),'SKU Dist'!$E$2:$X$200,'SKU Dist'!L$1,FALSE),"")=0,"",IF($AT67&lt;&gt;"",VLOOKUP(CONCATENATE($AT67,$AU67,$AV67,$F67),'SKU Dist'!$E$2:$X$200,'SKU Dist'!L$1,FALSE),""))</f>
        <v/>
      </c>
      <c r="S67" s="443" t="str">
        <f>IF(IF($AT67&lt;&gt;"",VLOOKUP(CONCATENATE($AT67,$AU67,$AV67,$F67),'SKU Dist'!$E$2:$X$200,'SKU Dist'!M$1,FALSE),"")=0,"",IF($AT67&lt;&gt;"",VLOOKUP(CONCATENATE($AT67,$AU67,$AV67,$F67),'SKU Dist'!$E$2:$X$200,'SKU Dist'!M$1,FALSE),""))</f>
        <v/>
      </c>
      <c r="T67" s="443" t="str">
        <f>IF(IF($AT67&lt;&gt;"",VLOOKUP(CONCATENATE($AT67,$AU67,$AV67,$F67),'SKU Dist'!$E$2:$X$200,'SKU Dist'!N$1,FALSE),"")=0,"",IF($AT67&lt;&gt;"",VLOOKUP(CONCATENATE($AT67,$AU67,$AV67,$F67),'SKU Dist'!$E$2:$X$200,'SKU Dist'!N$1,FALSE),""))</f>
        <v/>
      </c>
      <c r="U67" s="443" t="str">
        <f>IF(IF($AT67&lt;&gt;"",VLOOKUP(CONCATENATE($AT67,$AU67,$AV67,$F67),'SKU Dist'!$E$2:$X$200,'SKU Dist'!O$1,FALSE),"")=0,"",IF($AT67&lt;&gt;"",VLOOKUP(CONCATENATE($AT67,$AU67,$AV67,$F67),'SKU Dist'!$E$2:$X$200,'SKU Dist'!O$1,FALSE),""))</f>
        <v/>
      </c>
      <c r="V67" s="443" t="str">
        <f>IF(IF($AT67&lt;&gt;"",VLOOKUP(CONCATENATE($AT67,$AU67,$AV67,$F67),'SKU Dist'!$E$2:$X$200,'SKU Dist'!P$1,FALSE),"")=0,"",IF($AT67&lt;&gt;"",VLOOKUP(CONCATENATE($AT67,$AU67,$AV67,$F67),'SKU Dist'!$E$2:$X$200,'SKU Dist'!P$1,FALSE),""))</f>
        <v/>
      </c>
      <c r="W67" s="443" t="str">
        <f>IF(IF($AT67&lt;&gt;"",VLOOKUP(CONCATENATE($AT67,$AU67,$AV67,$F67),'SKU Dist'!$E$2:$X$200,'SKU Dist'!Q$1,FALSE),"")=0,"",IF($AT67&lt;&gt;"",VLOOKUP(CONCATENATE($AT67,$AU67,$AV67,$F67),'SKU Dist'!$E$2:$X$200,'SKU Dist'!Q$1,FALSE),""))</f>
        <v/>
      </c>
      <c r="X67" s="443" t="str">
        <f>IF(IF($AT67&lt;&gt;"",VLOOKUP(CONCATENATE($AT67,$AU67,$AV67,$F67),'SKU Dist'!$E$2:$X$200,'SKU Dist'!R$1,FALSE),"")=0,"",IF($AT67&lt;&gt;"",VLOOKUP(CONCATENATE($AT67,$AU67,$AV67,$F67),'SKU Dist'!$E$2:$X$200,'SKU Dist'!R$1,FALSE),""))</f>
        <v/>
      </c>
      <c r="Y67" s="720"/>
      <c r="Z67" s="443" t="str">
        <f>IF(IF($AT67&lt;&gt;"",VLOOKUP(CONCATENATE($AT67,$AU67,$AV67,$F67),'SKU Dist'!$E$2:$X$200,'SKU Dist'!T$1,FALSE),"")=0,"",IF($AT67&lt;&gt;"",VLOOKUP(CONCATENATE($AT67,$AU67,$AV67,$F67),'SKU Dist'!$E$2:$X$200,'SKU Dist'!T$1,FALSE),""))</f>
        <v/>
      </c>
      <c r="AA67" s="720"/>
      <c r="AB67" s="720"/>
      <c r="AC67" s="720"/>
      <c r="AD67" s="720"/>
      <c r="AE67" s="720"/>
      <c r="AF67" s="721"/>
      <c r="AG67" s="812">
        <f t="shared" ref="AG67:AG68" si="57">SUM(G67:AF67)</f>
        <v>0</v>
      </c>
      <c r="AH67" s="823">
        <v>72.5</v>
      </c>
      <c r="AI67" s="942">
        <f t="shared" ref="AI67:AI68" si="58">AG67*AH67</f>
        <v>0</v>
      </c>
      <c r="AJ67" s="925"/>
      <c r="AT67" s="222" t="str">
        <f t="shared" si="1"/>
        <v/>
      </c>
      <c r="AU67" s="206" t="s">
        <v>16</v>
      </c>
      <c r="AV67" s="206" t="s">
        <v>17</v>
      </c>
    </row>
    <row r="68" spans="1:48" ht="16.5" thickBot="1" x14ac:dyDescent="0.3">
      <c r="A68" s="653" t="s">
        <v>246</v>
      </c>
      <c r="B68" s="1031"/>
      <c r="C68" s="858" t="s">
        <v>257</v>
      </c>
      <c r="D68" s="869" t="s">
        <v>259</v>
      </c>
      <c r="E68" s="893">
        <v>5195</v>
      </c>
      <c r="F68" s="889" t="s">
        <v>17</v>
      </c>
      <c r="G68" s="744"/>
      <c r="H68" s="745"/>
      <c r="I68" s="745"/>
      <c r="J68" s="745"/>
      <c r="K68" s="745"/>
      <c r="L68" s="749" t="str">
        <f>IF(IF($AT68&lt;&gt;"",VLOOKUP(CONCATENATE($AT68,$AU68,$AV68,$F68),'SKU Dist'!$E$2:$X$200,'SKU Dist'!F$1,FALSE),"")=0,"",IF($AT68&lt;&gt;"",VLOOKUP(CONCATENATE($AT68,$AU68,$AV68,$F68),'SKU Dist'!$E$2:$X$200,'SKU Dist'!F$1,FALSE),""))</f>
        <v/>
      </c>
      <c r="M68" s="749" t="str">
        <f>IF(IF($AT68&lt;&gt;"",VLOOKUP(CONCATENATE($AT68,$AU68,$AV68,$F68),'SKU Dist'!$E$2:$X$200,'SKU Dist'!G$1,FALSE),"")=0,"",IF($AT68&lt;&gt;"",VLOOKUP(CONCATENATE($AT68,$AU68,$AV68,$F68),'SKU Dist'!$E$2:$X$200,'SKU Dist'!G$1,FALSE),""))</f>
        <v/>
      </c>
      <c r="N68" s="749" t="str">
        <f>IF(IF($AT68&lt;&gt;"",VLOOKUP(CONCATENATE($AT68,$AU68,$AV68,$F68),'SKU Dist'!$E$2:$X$200,'SKU Dist'!H$1,FALSE),"")=0,"",IF($AT68&lt;&gt;"",VLOOKUP(CONCATENATE($AT68,$AU68,$AV68,$F68),'SKU Dist'!$E$2:$X$200,'SKU Dist'!H$1,FALSE),""))</f>
        <v/>
      </c>
      <c r="O68" s="749" t="str">
        <f>IF(IF($AT68&lt;&gt;"",VLOOKUP(CONCATENATE($AT68,$AU68,$AV68,$F68),'SKU Dist'!$E$2:$X$200,'SKU Dist'!I$1,FALSE),"")=0,"",IF($AT68&lt;&gt;"",VLOOKUP(CONCATENATE($AT68,$AU68,$AV68,$F68),'SKU Dist'!$E$2:$X$200,'SKU Dist'!I$1,FALSE),""))</f>
        <v/>
      </c>
      <c r="P68" s="749" t="str">
        <f>IF(IF($AT68&lt;&gt;"",VLOOKUP(CONCATENATE($AT68,$AU68,$AV68,$F68),'SKU Dist'!$E$2:$X$200,'SKU Dist'!J$1,FALSE),"")=0,"",IF($AT68&lt;&gt;"",VLOOKUP(CONCATENATE($AT68,$AU68,$AV68,$F68),'SKU Dist'!$E$2:$X$200,'SKU Dist'!J$1,FALSE),""))</f>
        <v/>
      </c>
      <c r="Q68" s="749" t="str">
        <f>IF(IF($AT68&lt;&gt;"",VLOOKUP(CONCATENATE($AT68,$AU68,$AV68,$F68),'SKU Dist'!$E$2:$X$200,'SKU Dist'!K$1,FALSE),"")=0,"",IF($AT68&lt;&gt;"",VLOOKUP(CONCATENATE($AT68,$AU68,$AV68,$F68),'SKU Dist'!$E$2:$X$200,'SKU Dist'!K$1,FALSE),""))</f>
        <v/>
      </c>
      <c r="R68" s="749" t="str">
        <f>IF(IF($AT68&lt;&gt;"",VLOOKUP(CONCATENATE($AT68,$AU68,$AV68,$F68),'SKU Dist'!$E$2:$X$200,'SKU Dist'!L$1,FALSE),"")=0,"",IF($AT68&lt;&gt;"",VLOOKUP(CONCATENATE($AT68,$AU68,$AV68,$F68),'SKU Dist'!$E$2:$X$200,'SKU Dist'!L$1,FALSE),""))</f>
        <v/>
      </c>
      <c r="S68" s="749" t="str">
        <f>IF(IF($AT68&lt;&gt;"",VLOOKUP(CONCATENATE($AT68,$AU68,$AV68,$F68),'SKU Dist'!$E$2:$X$200,'SKU Dist'!M$1,FALSE),"")=0,"",IF($AT68&lt;&gt;"",VLOOKUP(CONCATENATE($AT68,$AU68,$AV68,$F68),'SKU Dist'!$E$2:$X$200,'SKU Dist'!M$1,FALSE),""))</f>
        <v/>
      </c>
      <c r="T68" s="749" t="str">
        <f>IF(IF($AT68&lt;&gt;"",VLOOKUP(CONCATENATE($AT68,$AU68,$AV68,$F68),'SKU Dist'!$E$2:$X$200,'SKU Dist'!N$1,FALSE),"")=0,"",IF($AT68&lt;&gt;"",VLOOKUP(CONCATENATE($AT68,$AU68,$AV68,$F68),'SKU Dist'!$E$2:$X$200,'SKU Dist'!N$1,FALSE),""))</f>
        <v/>
      </c>
      <c r="U68" s="749" t="str">
        <f>IF(IF($AT68&lt;&gt;"",VLOOKUP(CONCATENATE($AT68,$AU68,$AV68,$F68),'SKU Dist'!$E$2:$X$200,'SKU Dist'!O$1,FALSE),"")=0,"",IF($AT68&lt;&gt;"",VLOOKUP(CONCATENATE($AT68,$AU68,$AV68,$F68),'SKU Dist'!$E$2:$X$200,'SKU Dist'!O$1,FALSE),""))</f>
        <v/>
      </c>
      <c r="V68" s="749" t="str">
        <f>IF(IF($AT68&lt;&gt;"",VLOOKUP(CONCATENATE($AT68,$AU68,$AV68,$F68),'SKU Dist'!$E$2:$X$200,'SKU Dist'!P$1,FALSE),"")=0,"",IF($AT68&lt;&gt;"",VLOOKUP(CONCATENATE($AT68,$AU68,$AV68,$F68),'SKU Dist'!$E$2:$X$200,'SKU Dist'!P$1,FALSE),""))</f>
        <v/>
      </c>
      <c r="W68" s="749" t="str">
        <f>IF(IF($AT68&lt;&gt;"",VLOOKUP(CONCATENATE($AT68,$AU68,$AV68,$F68),'SKU Dist'!$E$2:$X$200,'SKU Dist'!Q$1,FALSE),"")=0,"",IF($AT68&lt;&gt;"",VLOOKUP(CONCATENATE($AT68,$AU68,$AV68,$F68),'SKU Dist'!$E$2:$X$200,'SKU Dist'!Q$1,FALSE),""))</f>
        <v/>
      </c>
      <c r="X68" s="749" t="str">
        <f>IF(IF($AT68&lt;&gt;"",VLOOKUP(CONCATENATE($AT68,$AU68,$AV68,$F68),'SKU Dist'!$E$2:$X$200,'SKU Dist'!R$1,FALSE),"")=0,"",IF($AT68&lt;&gt;"",VLOOKUP(CONCATENATE($AT68,$AU68,$AV68,$F68),'SKU Dist'!$E$2:$X$200,'SKU Dist'!R$1,FALSE),""))</f>
        <v/>
      </c>
      <c r="Y68" s="746"/>
      <c r="Z68" s="746"/>
      <c r="AA68" s="746"/>
      <c r="AB68" s="746"/>
      <c r="AC68" s="746"/>
      <c r="AD68" s="746"/>
      <c r="AE68" s="746"/>
      <c r="AF68" s="747"/>
      <c r="AG68" s="808">
        <f t="shared" si="57"/>
        <v>0</v>
      </c>
      <c r="AH68" s="820">
        <v>72.5</v>
      </c>
      <c r="AI68" s="944">
        <f t="shared" si="58"/>
        <v>0</v>
      </c>
      <c r="AJ68" s="927"/>
      <c r="AT68" s="222" t="str">
        <f t="shared" si="1"/>
        <v/>
      </c>
      <c r="AU68" s="206" t="s">
        <v>16</v>
      </c>
      <c r="AV68" s="152" t="s">
        <v>17</v>
      </c>
    </row>
    <row r="69" spans="1:48" ht="16.5" customHeight="1" x14ac:dyDescent="0.25">
      <c r="A69" s="654">
        <f>SUM(AG67:AG70)</f>
        <v>0</v>
      </c>
      <c r="B69" s="855"/>
      <c r="C69" s="748"/>
      <c r="D69" s="878"/>
      <c r="E69" s="910"/>
      <c r="F69" s="911"/>
      <c r="G69" s="648"/>
      <c r="H69" s="648"/>
      <c r="I69" s="648"/>
      <c r="J69" s="648"/>
      <c r="K69" s="648"/>
      <c r="L69" s="648"/>
      <c r="M69" s="648"/>
      <c r="N69" s="648"/>
      <c r="O69" s="648"/>
      <c r="P69" s="648"/>
      <c r="Q69" s="648"/>
      <c r="R69" s="649"/>
      <c r="S69" s="649"/>
      <c r="T69" s="649"/>
      <c r="U69" s="649"/>
      <c r="V69" s="649"/>
      <c r="W69" s="649"/>
      <c r="X69" s="649"/>
      <c r="Y69" s="649"/>
      <c r="Z69" s="649"/>
      <c r="AA69" s="649"/>
      <c r="AB69" s="649"/>
      <c r="AC69" s="648"/>
      <c r="AD69" s="648"/>
      <c r="AE69" s="648"/>
      <c r="AF69" s="648"/>
      <c r="AG69" s="661"/>
      <c r="AH69" s="834"/>
      <c r="AI69" s="953"/>
      <c r="AJ69" s="662"/>
      <c r="AT69" s="222" t="str">
        <f t="shared" si="1"/>
        <v/>
      </c>
      <c r="AU69" s="206"/>
      <c r="AV69" s="206"/>
    </row>
    <row r="70" spans="1:48" ht="16.5" thickBot="1" x14ac:dyDescent="0.3">
      <c r="A70" s="655">
        <f>SUM(AI67:AI70)</f>
        <v>0</v>
      </c>
      <c r="B70" s="790"/>
      <c r="C70" s="782"/>
      <c r="D70" s="879"/>
      <c r="E70" s="912"/>
      <c r="F70" s="913"/>
      <c r="G70" s="717"/>
      <c r="H70" s="717"/>
      <c r="I70" s="717"/>
      <c r="J70" s="717"/>
      <c r="K70" s="717"/>
      <c r="L70" s="717"/>
      <c r="M70" s="717"/>
      <c r="N70" s="717"/>
      <c r="O70" s="717"/>
      <c r="P70" s="717"/>
      <c r="Q70" s="717"/>
      <c r="R70" s="783"/>
      <c r="S70" s="783"/>
      <c r="T70" s="783"/>
      <c r="U70" s="783"/>
      <c r="V70" s="783"/>
      <c r="W70" s="783"/>
      <c r="X70" s="783"/>
      <c r="Y70" s="783"/>
      <c r="Z70" s="783"/>
      <c r="AA70" s="783"/>
      <c r="AB70" s="783"/>
      <c r="AC70" s="717"/>
      <c r="AD70" s="717"/>
      <c r="AE70" s="717"/>
      <c r="AF70" s="717"/>
      <c r="AG70" s="784"/>
      <c r="AH70" s="831"/>
      <c r="AI70" s="954"/>
      <c r="AJ70" s="787"/>
      <c r="AT70" s="222" t="str">
        <f t="shared" si="1"/>
        <v/>
      </c>
      <c r="AU70" s="206"/>
      <c r="AV70" s="152"/>
    </row>
    <row r="71" spans="1:48" ht="16.5" hidden="1" thickBot="1" x14ac:dyDescent="0.3">
      <c r="A71" s="629" t="s">
        <v>71</v>
      </c>
      <c r="B71" s="1030"/>
      <c r="C71" s="860"/>
      <c r="D71" s="871"/>
      <c r="E71" s="914"/>
      <c r="F71" s="895"/>
      <c r="G71" s="718"/>
      <c r="H71" s="719"/>
      <c r="I71" s="719"/>
      <c r="J71" s="719"/>
      <c r="K71" s="719"/>
      <c r="L71" s="719"/>
      <c r="M71" s="719"/>
      <c r="N71" s="637" t="str">
        <f>IF(IF($AT71&lt;&gt;"",VLOOKUP(CONCATENATE($AT71,$AU71,$AV71,$F71),'SKU Dist'!$E$2:$X$200,'SKU Dist'!H$1,FALSE),"")=0,"",IF($AT71&lt;&gt;"",VLOOKUP(CONCATENATE($AT71,$AU71,$AV71,$F71),'SKU Dist'!$E$2:$X$200,'SKU Dist'!H$1,FALSE),""))</f>
        <v/>
      </c>
      <c r="O71" s="637" t="str">
        <f>IF(IF($AT71&lt;&gt;"",VLOOKUP(CONCATENATE($AT71,$AU71,$AV71,$F71),'SKU Dist'!$E$2:$X$200,'SKU Dist'!I$1,FALSE),"")=0,"",IF($AT71&lt;&gt;"",VLOOKUP(CONCATENATE($AT71,$AU71,$AV71,$F71),'SKU Dist'!$E$2:$X$200,'SKU Dist'!I$1,FALSE),""))</f>
        <v/>
      </c>
      <c r="P71" s="637" t="str">
        <f>IF(IF($AT71&lt;&gt;"",VLOOKUP(CONCATENATE($AT71,$AU71,$AV71,$F71),'SKU Dist'!$E$2:$X$200,'SKU Dist'!J$1,FALSE),"")=0,"",IF($AT71&lt;&gt;"",VLOOKUP(CONCATENATE($AT71,$AU71,$AV71,$F71),'SKU Dist'!$E$2:$X$200,'SKU Dist'!J$1,FALSE),""))</f>
        <v/>
      </c>
      <c r="Q71" s="637" t="str">
        <f>IF(IF($AT71&lt;&gt;"",VLOOKUP(CONCATENATE($AT71,$AU71,$AV71,$F71),'SKU Dist'!$E$2:$X$200,'SKU Dist'!K$1,FALSE),"")=0,"",IF($AT71&lt;&gt;"",VLOOKUP(CONCATENATE($AT71,$AU71,$AV71,$F71),'SKU Dist'!$E$2:$X$200,'SKU Dist'!K$1,FALSE),""))</f>
        <v/>
      </c>
      <c r="R71" s="637" t="str">
        <f>IF(IF($AT71&lt;&gt;"",VLOOKUP(CONCATENATE($AT71,$AU71,$AV71,$F71),'SKU Dist'!$E$2:$X$200,'SKU Dist'!L$1,FALSE),"")=0,"",IF($AT71&lt;&gt;"",VLOOKUP(CONCATENATE($AT71,$AU71,$AV71,$F71),'SKU Dist'!$E$2:$X$200,'SKU Dist'!L$1,FALSE),""))</f>
        <v/>
      </c>
      <c r="S71" s="637" t="str">
        <f>IF(IF($AT71&lt;&gt;"",VLOOKUP(CONCATENATE($AT71,$AU71,$AV71,$F71),'SKU Dist'!$E$2:$X$200,'SKU Dist'!M$1,FALSE),"")=0,"",IF($AT71&lt;&gt;"",VLOOKUP(CONCATENATE($AT71,$AU71,$AV71,$F71),'SKU Dist'!$E$2:$X$200,'SKU Dist'!M$1,FALSE),""))</f>
        <v/>
      </c>
      <c r="T71" s="637" t="str">
        <f>IF(IF($AT71&lt;&gt;"",VLOOKUP(CONCATENATE($AT71,$AU71,$AV71,$F71),'SKU Dist'!$E$2:$X$200,'SKU Dist'!N$1,FALSE),"")=0,"",IF($AT71&lt;&gt;"",VLOOKUP(CONCATENATE($AT71,$AU71,$AV71,$F71),'SKU Dist'!$E$2:$X$200,'SKU Dist'!N$1,FALSE),""))</f>
        <v/>
      </c>
      <c r="U71" s="637" t="str">
        <f>IF(IF($AT71&lt;&gt;"",VLOOKUP(CONCATENATE($AT71,$AU71,$AV71,$F71),'SKU Dist'!$E$2:$X$200,'SKU Dist'!O$1,FALSE),"")=0,"",IF($AT71&lt;&gt;"",VLOOKUP(CONCATENATE($AT71,$AU71,$AV71,$F71),'SKU Dist'!$E$2:$X$200,'SKU Dist'!O$1,FALSE),""))</f>
        <v/>
      </c>
      <c r="V71" s="637" t="str">
        <f>IF(IF($AT71&lt;&gt;"",VLOOKUP(CONCATENATE($AT71,$AU71,$AV71,$F71),'SKU Dist'!$E$2:$X$200,'SKU Dist'!P$1,FALSE),"")=0,"",IF($AT71&lt;&gt;"",VLOOKUP(CONCATENATE($AT71,$AU71,$AV71,$F71),'SKU Dist'!$E$2:$X$200,'SKU Dist'!P$1,FALSE),""))</f>
        <v/>
      </c>
      <c r="W71" s="637" t="str">
        <f>IF(IF($AT71&lt;&gt;"",VLOOKUP(CONCATENATE($AT71,$AU71,$AV71,$F71),'SKU Dist'!$E$2:$X$200,'SKU Dist'!Q$1,FALSE),"")=0,"",IF($AT71&lt;&gt;"",VLOOKUP(CONCATENATE($AT71,$AU71,$AV71,$F71),'SKU Dist'!$E$2:$X$200,'SKU Dist'!Q$1,FALSE),""))</f>
        <v/>
      </c>
      <c r="X71" s="637" t="str">
        <f>IF(IF($AT71&lt;&gt;"",VLOOKUP(CONCATENATE($AT71,$AU71,$AV71,$F71),'SKU Dist'!$E$2:$X$200,'SKU Dist'!R$1,FALSE),"")=0,"",IF($AT71&lt;&gt;"",VLOOKUP(CONCATENATE($AT71,$AU71,$AV71,$F71),'SKU Dist'!$E$2:$X$200,'SKU Dist'!R$1,FALSE),""))</f>
        <v/>
      </c>
      <c r="Y71" s="637" t="str">
        <f>IF(IF($AT71&lt;&gt;"",VLOOKUP(CONCATENATE($AT71,$AU71,$AV71,$F71),'SKU Dist'!$E$2:$X$200,'SKU Dist'!S$1,FALSE),"")=0,"",IF($AT71&lt;&gt;"",VLOOKUP(CONCATENATE($AT71,$AU71,$AV71,$F71),'SKU Dist'!$E$2:$X$200,'SKU Dist'!S$1,FALSE),""))</f>
        <v/>
      </c>
      <c r="Z71" s="637" t="str">
        <f>IF(IF($AT71&lt;&gt;"",VLOOKUP(CONCATENATE($AT71,$AU71,$AV71,$F71),'SKU Dist'!$E$2:$X$200,'SKU Dist'!T$1,FALSE),"")=0,"",IF($AT71&lt;&gt;"",VLOOKUP(CONCATENATE($AT71,$AU71,$AV71,$F71),'SKU Dist'!$E$2:$X$200,'SKU Dist'!T$1,FALSE),""))</f>
        <v/>
      </c>
      <c r="AA71" s="637" t="str">
        <f>IF(IF($AT71&lt;&gt;"",VLOOKUP(CONCATENATE($AT71,$AU71,$AV71,$F71),'SKU Dist'!$E$2:$X$200,'SKU Dist'!U$1,FALSE),"")=0,"",IF($AT71&lt;&gt;"",VLOOKUP(CONCATENATE($AT71,$AU71,$AV71,$F71),'SKU Dist'!$E$2:$X$200,'SKU Dist'!U$1,FALSE),""))</f>
        <v/>
      </c>
      <c r="AB71" s="637" t="str">
        <f>IF(IF($AT71&lt;&gt;"",VLOOKUP(CONCATENATE($AT71,$AU71,$AV71,$F71),'SKU Dist'!$E$2:$X$200,'SKU Dist'!V$1,FALSE),"")=0,"",IF($AT71&lt;&gt;"",VLOOKUP(CONCATENATE($AT71,$AU71,$AV71,$F71),'SKU Dist'!$E$2:$X$200,'SKU Dist'!V$1,FALSE),""))</f>
        <v/>
      </c>
      <c r="AC71" s="637" t="str">
        <f>IF(IF($AT71&lt;&gt;"",VLOOKUP(CONCATENATE($AT71,$AU71,$AV71,$F71),'SKU Dist'!$E$2:$X$200,'SKU Dist'!W$1,FALSE),"")=0,"",IF($AT71&lt;&gt;"",VLOOKUP(CONCATENATE($AT71,$AU71,$AV71,$F71),'SKU Dist'!$E$2:$X$200,'SKU Dist'!W$1,FALSE),""))</f>
        <v/>
      </c>
      <c r="AD71" s="720"/>
      <c r="AE71" s="720"/>
      <c r="AF71" s="721"/>
      <c r="AG71" s="809">
        <f t="shared" ref="AG71:AG72" si="59">SUM(G71:AF71)</f>
        <v>0</v>
      </c>
      <c r="AH71" s="821">
        <v>90</v>
      </c>
      <c r="AI71" s="946">
        <f t="shared" si="0"/>
        <v>0</v>
      </c>
      <c r="AJ71" s="929"/>
      <c r="AT71" s="222" t="str">
        <f t="shared" si="1"/>
        <v/>
      </c>
      <c r="AU71" s="206" t="s">
        <v>22</v>
      </c>
      <c r="AV71" s="206" t="s">
        <v>10</v>
      </c>
    </row>
    <row r="72" spans="1:48" ht="16.5" hidden="1" thickBot="1" x14ac:dyDescent="0.3">
      <c r="A72" s="631" t="s">
        <v>247</v>
      </c>
      <c r="B72" s="1029"/>
      <c r="C72" s="861"/>
      <c r="D72" s="873"/>
      <c r="E72" s="900"/>
      <c r="F72" s="898"/>
      <c r="G72" s="643"/>
      <c r="H72" s="433"/>
      <c r="I72" s="433"/>
      <c r="J72" s="433"/>
      <c r="K72" s="433"/>
      <c r="L72" s="433"/>
      <c r="M72" s="433"/>
      <c r="N72" s="433"/>
      <c r="O72" s="433"/>
      <c r="P72" s="635" t="str">
        <f>IF(IF($AT72&lt;&gt;"",VLOOKUP(CONCATENATE($AT72,$AU72,$AV72,$F72),'SKU Dist'!$E$2:$X$200,'SKU Dist'!J$1,FALSE),"")=0,"",IF($AT72&lt;&gt;"",VLOOKUP(CONCATENATE($AT72,$AU72,$AV72,$F72),'SKU Dist'!$E$2:$X$200,'SKU Dist'!J$1,FALSE),""))</f>
        <v/>
      </c>
      <c r="Q72" s="635" t="str">
        <f>IF(IF($AT72&lt;&gt;"",VLOOKUP(CONCATENATE($AT72,$AU72,$AV72,$F72),'SKU Dist'!$E$2:$X$200,'SKU Dist'!K$1,FALSE),"")=0,"",IF($AT72&lt;&gt;"",VLOOKUP(CONCATENATE($AT72,$AU72,$AV72,$F72),'SKU Dist'!$E$2:$X$200,'SKU Dist'!K$1,FALSE),""))</f>
        <v/>
      </c>
      <c r="R72" s="635" t="str">
        <f>IF(IF($AT72&lt;&gt;"",VLOOKUP(CONCATENATE($AT72,$AU72,$AV72,$F72),'SKU Dist'!$E$2:$X$200,'SKU Dist'!L$1,FALSE),"")=0,"",IF($AT72&lt;&gt;"",VLOOKUP(CONCATENATE($AT72,$AU72,$AV72,$F72),'SKU Dist'!$E$2:$X$200,'SKU Dist'!L$1,FALSE),""))</f>
        <v/>
      </c>
      <c r="S72" s="635" t="str">
        <f>IF(IF($AT72&lt;&gt;"",VLOOKUP(CONCATENATE($AT72,$AU72,$AV72,$F72),'SKU Dist'!$E$2:$X$200,'SKU Dist'!M$1,FALSE),"")=0,"",IF($AT72&lt;&gt;"",VLOOKUP(CONCATENATE($AT72,$AU72,$AV72,$F72),'SKU Dist'!$E$2:$X$200,'SKU Dist'!M$1,FALSE),""))</f>
        <v/>
      </c>
      <c r="T72" s="635" t="str">
        <f>IF(IF($AT72&lt;&gt;"",VLOOKUP(CONCATENATE($AT72,$AU72,$AV72,$F72),'SKU Dist'!$E$2:$X$200,'SKU Dist'!N$1,FALSE),"")=0,"",IF($AT72&lt;&gt;"",VLOOKUP(CONCATENATE($AT72,$AU72,$AV72,$F72),'SKU Dist'!$E$2:$X$200,'SKU Dist'!N$1,FALSE),""))</f>
        <v/>
      </c>
      <c r="U72" s="635" t="str">
        <f>IF(IF($AT72&lt;&gt;"",VLOOKUP(CONCATENATE($AT72,$AU72,$AV72,$F72),'SKU Dist'!$E$2:$X$200,'SKU Dist'!O$1,FALSE),"")=0,"",IF($AT72&lt;&gt;"",VLOOKUP(CONCATENATE($AT72,$AU72,$AV72,$F72),'SKU Dist'!$E$2:$X$200,'SKU Dist'!O$1,FALSE),""))</f>
        <v/>
      </c>
      <c r="V72" s="635" t="str">
        <f>IF(IF($AT72&lt;&gt;"",VLOOKUP(CONCATENATE($AT72,$AU72,$AV72,$F72),'SKU Dist'!$E$2:$X$200,'SKU Dist'!P$1,FALSE),"")=0,"",IF($AT72&lt;&gt;"",VLOOKUP(CONCATENATE($AT72,$AU72,$AV72,$F72),'SKU Dist'!$E$2:$X$200,'SKU Dist'!P$1,FALSE),""))</f>
        <v/>
      </c>
      <c r="W72" s="635" t="str">
        <f>IF(IF($AT72&lt;&gt;"",VLOOKUP(CONCATENATE($AT72,$AU72,$AV72,$F72),'SKU Dist'!$E$2:$X$200,'SKU Dist'!Q$1,FALSE),"")=0,"",IF($AT72&lt;&gt;"",VLOOKUP(CONCATENATE($AT72,$AU72,$AV72,$F72),'SKU Dist'!$E$2:$X$200,'SKU Dist'!Q$1,FALSE),""))</f>
        <v/>
      </c>
      <c r="X72" s="635" t="str">
        <f>IF(IF($AT72&lt;&gt;"",VLOOKUP(CONCATENATE($AT72,$AU72,$AV72,$F72),'SKU Dist'!$E$2:$X$200,'SKU Dist'!R$1,FALSE),"")=0,"",IF($AT72&lt;&gt;"",VLOOKUP(CONCATENATE($AT72,$AU72,$AV72,$F72),'SKU Dist'!$E$2:$X$200,'SKU Dist'!R$1,FALSE),""))</f>
        <v/>
      </c>
      <c r="Y72" s="635" t="str">
        <f>IF(IF($AT72&lt;&gt;"",VLOOKUP(CONCATENATE($AT72,$AU72,$AV72,$F72),'SKU Dist'!$E$2:$X$200,'SKU Dist'!S$1,FALSE),"")=0,"",IF($AT72&lt;&gt;"",VLOOKUP(CONCATENATE($AT72,$AU72,$AV72,$F72),'SKU Dist'!$E$2:$X$200,'SKU Dist'!S$1,FALSE),""))</f>
        <v/>
      </c>
      <c r="Z72" s="635" t="str">
        <f>IF(IF($AT72&lt;&gt;"",VLOOKUP(CONCATENATE($AT72,$AU72,$AV72,$F72),'SKU Dist'!$E$2:$X$200,'SKU Dist'!T$1,FALSE),"")=0,"",IF($AT72&lt;&gt;"",VLOOKUP(CONCATENATE($AT72,$AU72,$AV72,$F72),'SKU Dist'!$E$2:$X$200,'SKU Dist'!T$1,FALSE),""))</f>
        <v/>
      </c>
      <c r="AA72" s="635" t="str">
        <f>IF(IF($AT72&lt;&gt;"",VLOOKUP(CONCATENATE($AT72,$AU72,$AV72,$F72),'SKU Dist'!$E$2:$X$200,'SKU Dist'!U$1,FALSE),"")=0,"",IF($AT72&lt;&gt;"",VLOOKUP(CONCATENATE($AT72,$AU72,$AV72,$F72),'SKU Dist'!$E$2:$X$200,'SKU Dist'!U$1,FALSE),""))</f>
        <v/>
      </c>
      <c r="AB72" s="434"/>
      <c r="AC72" s="434"/>
      <c r="AD72" s="434"/>
      <c r="AE72" s="434"/>
      <c r="AF72" s="583"/>
      <c r="AG72" s="805">
        <f t="shared" si="59"/>
        <v>0</v>
      </c>
      <c r="AH72" s="814">
        <v>90</v>
      </c>
      <c r="AI72" s="948">
        <f t="shared" si="0"/>
        <v>0</v>
      </c>
      <c r="AJ72" s="931"/>
      <c r="AT72" s="222" t="str">
        <f t="shared" si="1"/>
        <v/>
      </c>
      <c r="AU72" s="206" t="s">
        <v>22</v>
      </c>
      <c r="AV72" s="206" t="s">
        <v>10</v>
      </c>
    </row>
    <row r="73" spans="1:48" ht="16.5" hidden="1" thickBot="1" x14ac:dyDescent="0.3">
      <c r="A73" s="381">
        <f>SUM(AG71:AG74)</f>
        <v>0</v>
      </c>
      <c r="B73" s="1033"/>
      <c r="C73" s="857"/>
      <c r="D73" s="868"/>
      <c r="E73" s="907"/>
      <c r="F73" s="887"/>
      <c r="G73" s="642"/>
      <c r="H73" s="432"/>
      <c r="I73" s="432"/>
      <c r="J73" s="432"/>
      <c r="K73" s="432"/>
      <c r="L73" s="413" t="str">
        <f>IF(IF($AT73&lt;&gt;"",VLOOKUP(CONCATENATE($AT73,$AU73,$AV73,$F73),'SKU Dist'!$E$2:$X$200,'SKU Dist'!F$1,FALSE),"")=0,"",IF($AT73&lt;&gt;"",VLOOKUP(CONCATENATE($AT73,$AU73,$AV73,$F73),'SKU Dist'!$E$2:$X$200,'SKU Dist'!F$1,FALSE),""))</f>
        <v/>
      </c>
      <c r="M73" s="413" t="str">
        <f>IF(IF($AT73&lt;&gt;"",VLOOKUP(CONCATENATE($AT73,$AU73,$AV73,$F73),'SKU Dist'!$E$2:$X$200,'SKU Dist'!G$1,FALSE),"")=0,"",IF($AT73&lt;&gt;"",VLOOKUP(CONCATENATE($AT73,$AU73,$AV73,$F73),'SKU Dist'!$E$2:$X$200,'SKU Dist'!G$1,FALSE),""))</f>
        <v/>
      </c>
      <c r="N73" s="413" t="str">
        <f>IF(IF($AT73&lt;&gt;"",VLOOKUP(CONCATENATE($AT73,$AU73,$AV73,$F73),'SKU Dist'!$E$2:$X$200,'SKU Dist'!H$1,FALSE),"")=0,"",IF($AT73&lt;&gt;"",VLOOKUP(CONCATENATE($AT73,$AU73,$AV73,$F73),'SKU Dist'!$E$2:$X$200,'SKU Dist'!H$1,FALSE),""))</f>
        <v/>
      </c>
      <c r="O73" s="413" t="str">
        <f>IF(IF($AT73&lt;&gt;"",VLOOKUP(CONCATENATE($AT73,$AU73,$AV73,$F73),'SKU Dist'!$E$2:$X$200,'SKU Dist'!I$1,FALSE),"")=0,"",IF($AT73&lt;&gt;"",VLOOKUP(CONCATENATE($AT73,$AU73,$AV73,$F73),'SKU Dist'!$E$2:$X$200,'SKU Dist'!I$1,FALSE),""))</f>
        <v/>
      </c>
      <c r="P73" s="413" t="str">
        <f>IF(IF($AT73&lt;&gt;"",VLOOKUP(CONCATENATE($AT73,$AU73,$AV73,$F73),'SKU Dist'!$E$2:$X$200,'SKU Dist'!J$1,FALSE),"")=0,"",IF($AT73&lt;&gt;"",VLOOKUP(CONCATENATE($AT73,$AU73,$AV73,$F73),'SKU Dist'!$E$2:$X$200,'SKU Dist'!J$1,FALSE),""))</f>
        <v/>
      </c>
      <c r="Q73" s="413" t="str">
        <f>IF(IF($AT73&lt;&gt;"",VLOOKUP(CONCATENATE($AT73,$AU73,$AV73,$F73),'SKU Dist'!$E$2:$X$200,'SKU Dist'!K$1,FALSE),"")=0,"",IF($AT73&lt;&gt;"",VLOOKUP(CONCATENATE($AT73,$AU73,$AV73,$F73),'SKU Dist'!$E$2:$X$200,'SKU Dist'!K$1,FALSE),""))</f>
        <v/>
      </c>
      <c r="R73" s="413" t="str">
        <f>IF(IF($AT73&lt;&gt;"",VLOOKUP(CONCATENATE($AT73,$AU73,$AV73,$F73),'SKU Dist'!$E$2:$X$200,'SKU Dist'!L$1,FALSE),"")=0,"",IF($AT73&lt;&gt;"",VLOOKUP(CONCATENATE($AT73,$AU73,$AV73,$F73),'SKU Dist'!$E$2:$X$200,'SKU Dist'!L$1,FALSE),""))</f>
        <v/>
      </c>
      <c r="S73" s="413" t="str">
        <f>IF(IF($AT73&lt;&gt;"",VLOOKUP(CONCATENATE($AT73,$AU73,$AV73,$F73),'SKU Dist'!$E$2:$X$200,'SKU Dist'!M$1,FALSE),"")=0,"",IF($AT73&lt;&gt;"",VLOOKUP(CONCATENATE($AT73,$AU73,$AV73,$F73),'SKU Dist'!$E$2:$X$200,'SKU Dist'!M$1,FALSE),""))</f>
        <v/>
      </c>
      <c r="T73" s="413" t="str">
        <f>IF(IF($AT73&lt;&gt;"",VLOOKUP(CONCATENATE($AT73,$AU73,$AV73,$F73),'SKU Dist'!$E$2:$X$200,'SKU Dist'!N$1,FALSE),"")=0,"",IF($AT73&lt;&gt;"",VLOOKUP(CONCATENATE($AT73,$AU73,$AV73,$F73),'SKU Dist'!$E$2:$X$200,'SKU Dist'!N$1,FALSE),""))</f>
        <v/>
      </c>
      <c r="U73" s="413" t="str">
        <f>IF(IF($AT73&lt;&gt;"",VLOOKUP(CONCATENATE($AT73,$AU73,$AV73,$F73),'SKU Dist'!$E$2:$X$200,'SKU Dist'!O$1,FALSE),"")=0,"",IF($AT73&lt;&gt;"",VLOOKUP(CONCATENATE($AT73,$AU73,$AV73,$F73),'SKU Dist'!$E$2:$X$200,'SKU Dist'!O$1,FALSE),""))</f>
        <v/>
      </c>
      <c r="V73" s="413" t="str">
        <f>IF(IF($AT73&lt;&gt;"",VLOOKUP(CONCATENATE($AT73,$AU73,$AV73,$F73),'SKU Dist'!$E$2:$X$200,'SKU Dist'!P$1,FALSE),"")=0,"",IF($AT73&lt;&gt;"",VLOOKUP(CONCATENATE($AT73,$AU73,$AV73,$F73),'SKU Dist'!$E$2:$X$200,'SKU Dist'!P$1,FALSE),""))</f>
        <v/>
      </c>
      <c r="W73" s="435"/>
      <c r="X73" s="413" t="str">
        <f>IF(IF($AT73&lt;&gt;"",VLOOKUP(CONCATENATE($AT73,$AU73,$AV73,$F73),'SKU Dist'!$E$2:$X$200,'SKU Dist'!R$1,FALSE),"")=0,"",IF($AT73&lt;&gt;"",VLOOKUP(CONCATENATE($AT73,$AU73,$AV73,$F73),'SKU Dist'!$E$2:$X$200,'SKU Dist'!R$1,FALSE),""))</f>
        <v/>
      </c>
      <c r="Y73" s="435"/>
      <c r="Z73" s="435"/>
      <c r="AA73" s="435"/>
      <c r="AB73" s="435"/>
      <c r="AC73" s="435"/>
      <c r="AD73" s="435"/>
      <c r="AE73" s="435"/>
      <c r="AF73" s="582"/>
      <c r="AG73" s="804">
        <f t="shared" ref="AG73:AG74" si="60">SUM(G73:AF73)</f>
        <v>0</v>
      </c>
      <c r="AH73" s="817">
        <v>90</v>
      </c>
      <c r="AI73" s="943">
        <f t="shared" si="0"/>
        <v>0</v>
      </c>
      <c r="AJ73" s="926"/>
      <c r="AT73" s="222" t="str">
        <f t="shared" si="1"/>
        <v/>
      </c>
      <c r="AU73" s="206" t="s">
        <v>22</v>
      </c>
      <c r="AV73" s="206" t="s">
        <v>17</v>
      </c>
    </row>
    <row r="74" spans="1:48" ht="16.5" hidden="1" thickBot="1" x14ac:dyDescent="0.3">
      <c r="A74" s="795">
        <f>SUM(AI71:AI74)</f>
        <v>0</v>
      </c>
      <c r="B74" s="1036"/>
      <c r="C74" s="858"/>
      <c r="D74" s="869"/>
      <c r="E74" s="915"/>
      <c r="F74" s="889"/>
      <c r="G74" s="844"/>
      <c r="H74" s="845"/>
      <c r="I74" s="845"/>
      <c r="J74" s="845"/>
      <c r="K74" s="845"/>
      <c r="L74" s="845"/>
      <c r="M74" s="845"/>
      <c r="N74" s="779" t="str">
        <f>IF(IF($AT74&lt;&gt;"",VLOOKUP(CONCATENATE($AT74,$AU74,$AV74,$F74),'SKU Dist'!$E$2:$X$200,'SKU Dist'!H$1,FALSE),"")=0,"",IF($AT74&lt;&gt;"",VLOOKUP(CONCATENATE($AT74,$AU74,$AV74,$F74),'SKU Dist'!$E$2:$X$200,'SKU Dist'!H$1,FALSE),""))</f>
        <v/>
      </c>
      <c r="O74" s="779" t="str">
        <f>IF(IF($AT74&lt;&gt;"",VLOOKUP(CONCATENATE($AT74,$AU74,$AV74,$F74),'SKU Dist'!$E$2:$X$200,'SKU Dist'!I$1,FALSE),"")=0,"",IF($AT74&lt;&gt;"",VLOOKUP(CONCATENATE($AT74,$AU74,$AV74,$F74),'SKU Dist'!$E$2:$X$200,'SKU Dist'!I$1,FALSE),""))</f>
        <v/>
      </c>
      <c r="P74" s="779" t="str">
        <f>IF(IF($AT74&lt;&gt;"",VLOOKUP(CONCATENATE($AT74,$AU74,$AV74,$F74),'SKU Dist'!$E$2:$X$200,'SKU Dist'!J$1,FALSE),"")=0,"",IF($AT74&lt;&gt;"",VLOOKUP(CONCATENATE($AT74,$AU74,$AV74,$F74),'SKU Dist'!$E$2:$X$200,'SKU Dist'!J$1,FALSE),""))</f>
        <v/>
      </c>
      <c r="Q74" s="779" t="str">
        <f>IF(IF($AT74&lt;&gt;"",VLOOKUP(CONCATENATE($AT74,$AU74,$AV74,$F74),'SKU Dist'!$E$2:$X$200,'SKU Dist'!K$1,FALSE),"")=0,"",IF($AT74&lt;&gt;"",VLOOKUP(CONCATENATE($AT74,$AU74,$AV74,$F74),'SKU Dist'!$E$2:$X$200,'SKU Dist'!K$1,FALSE),""))</f>
        <v/>
      </c>
      <c r="R74" s="779" t="str">
        <f>IF(IF($AT74&lt;&gt;"",VLOOKUP(CONCATENATE($AT74,$AU74,$AV74,$F74),'SKU Dist'!$E$2:$X$200,'SKU Dist'!L$1,FALSE),"")=0,"",IF($AT74&lt;&gt;"",VLOOKUP(CONCATENATE($AT74,$AU74,$AV74,$F74),'SKU Dist'!$E$2:$X$200,'SKU Dist'!L$1,FALSE),""))</f>
        <v/>
      </c>
      <c r="S74" s="779" t="str">
        <f>IF(IF($AT74&lt;&gt;"",VLOOKUP(CONCATENATE($AT74,$AU74,$AV74,$F74),'SKU Dist'!$E$2:$X$200,'SKU Dist'!M$1,FALSE),"")=0,"",IF($AT74&lt;&gt;"",VLOOKUP(CONCATENATE($AT74,$AU74,$AV74,$F74),'SKU Dist'!$E$2:$X$200,'SKU Dist'!M$1,FALSE),""))</f>
        <v/>
      </c>
      <c r="T74" s="779" t="str">
        <f>IF(IF($AT74&lt;&gt;"",VLOOKUP(CONCATENATE($AT74,$AU74,$AV74,$F74),'SKU Dist'!$E$2:$X$200,'SKU Dist'!N$1,FALSE),"")=0,"",IF($AT74&lt;&gt;"",VLOOKUP(CONCATENATE($AT74,$AU74,$AV74,$F74),'SKU Dist'!$E$2:$X$200,'SKU Dist'!N$1,FALSE),""))</f>
        <v/>
      </c>
      <c r="U74" s="779" t="str">
        <f>IF(IF($AT74&lt;&gt;"",VLOOKUP(CONCATENATE($AT74,$AU74,$AV74,$F74),'SKU Dist'!$E$2:$X$200,'SKU Dist'!O$1,FALSE),"")=0,"",IF($AT74&lt;&gt;"",VLOOKUP(CONCATENATE($AT74,$AU74,$AV74,$F74),'SKU Dist'!$E$2:$X$200,'SKU Dist'!O$1,FALSE),""))</f>
        <v/>
      </c>
      <c r="V74" s="779" t="str">
        <f>IF(IF($AT74&lt;&gt;"",VLOOKUP(CONCATENATE($AT74,$AU74,$AV74,$F74),'SKU Dist'!$E$2:$X$200,'SKU Dist'!P$1,FALSE),"")=0,"",IF($AT74&lt;&gt;"",VLOOKUP(CONCATENATE($AT74,$AU74,$AV74,$F74),'SKU Dist'!$E$2:$X$200,'SKU Dist'!P$1,FALSE),""))</f>
        <v/>
      </c>
      <c r="W74" s="846"/>
      <c r="X74" s="846"/>
      <c r="Y74" s="846"/>
      <c r="Z74" s="846"/>
      <c r="AA74" s="846"/>
      <c r="AB74" s="846"/>
      <c r="AC74" s="846"/>
      <c r="AD74" s="846"/>
      <c r="AE74" s="846"/>
      <c r="AF74" s="847"/>
      <c r="AG74" s="808">
        <f t="shared" si="60"/>
        <v>0</v>
      </c>
      <c r="AH74" s="820">
        <v>90</v>
      </c>
      <c r="AI74" s="944">
        <f t="shared" si="0"/>
        <v>0</v>
      </c>
      <c r="AJ74" s="927"/>
      <c r="AT74" s="222" t="str">
        <f t="shared" si="1"/>
        <v/>
      </c>
      <c r="AU74" s="206" t="s">
        <v>22</v>
      </c>
      <c r="AV74" s="206" t="s">
        <v>17</v>
      </c>
    </row>
    <row r="75" spans="1:48" ht="15.75" x14ac:dyDescent="0.25">
      <c r="A75" s="629" t="s">
        <v>71</v>
      </c>
      <c r="B75" s="1030"/>
      <c r="C75" s="860" t="s">
        <v>257</v>
      </c>
      <c r="D75" s="871" t="s">
        <v>296</v>
      </c>
      <c r="E75" s="894">
        <v>3953</v>
      </c>
      <c r="F75" s="895" t="s">
        <v>35</v>
      </c>
      <c r="G75" s="640"/>
      <c r="H75" s="431"/>
      <c r="I75" s="431"/>
      <c r="J75" s="431"/>
      <c r="K75" s="431"/>
      <c r="L75" s="431"/>
      <c r="M75" s="431"/>
      <c r="N75" s="431"/>
      <c r="O75" s="431"/>
      <c r="P75" s="431"/>
      <c r="Q75" s="431"/>
      <c r="R75" s="637" t="str">
        <f>IF(IF($AT75&lt;&gt;"",VLOOKUP(CONCATENATE($AT75,$AU75,$AV75,$F75),'SKU Dist'!$E$2:$X$200,'SKU Dist'!L$1,FALSE),"")=0,"",IF($AT75&lt;&gt;"",VLOOKUP(CONCATENATE($AT75,$AU75,$AV75,$F75),'SKU Dist'!$E$2:$X$200,'SKU Dist'!L$1,FALSE),""))</f>
        <v/>
      </c>
      <c r="S75" s="637" t="str">
        <f>IF(IF($AT75&lt;&gt;"",VLOOKUP(CONCATENATE($AT75,$AU75,$AV75,$F75),'SKU Dist'!$E$2:$X$200,'SKU Dist'!M$1,FALSE),"")=0,"",IF($AT75&lt;&gt;"",VLOOKUP(CONCATENATE($AT75,$AU75,$AV75,$F75),'SKU Dist'!$E$2:$X$200,'SKU Dist'!M$1,FALSE),""))</f>
        <v/>
      </c>
      <c r="T75" s="637" t="str">
        <f>IF(IF($AT75&lt;&gt;"",VLOOKUP(CONCATENATE($AT75,$AU75,$AV75,$F75),'SKU Dist'!$E$2:$X$200,'SKU Dist'!N$1,FALSE),"")=0,"",IF($AT75&lt;&gt;"",VLOOKUP(CONCATENATE($AT75,$AU75,$AV75,$F75),'SKU Dist'!$E$2:$X$200,'SKU Dist'!N$1,FALSE),""))</f>
        <v/>
      </c>
      <c r="U75" s="637" t="str">
        <f>IF(IF($AT75&lt;&gt;"",VLOOKUP(CONCATENATE($AT75,$AU75,$AV75,$F75),'SKU Dist'!$E$2:$X$200,'SKU Dist'!O$1,FALSE),"")=0,"",IF($AT75&lt;&gt;"",VLOOKUP(CONCATENATE($AT75,$AU75,$AV75,$F75),'SKU Dist'!$E$2:$X$200,'SKU Dist'!O$1,FALSE),""))</f>
        <v/>
      </c>
      <c r="V75" s="637" t="str">
        <f>IF(IF($AT75&lt;&gt;"",VLOOKUP(CONCATENATE($AT75,$AU75,$AV75,$F75),'SKU Dist'!$E$2:$X$200,'SKU Dist'!P$1,FALSE),"")=0,"",IF($AT75&lt;&gt;"",VLOOKUP(CONCATENATE($AT75,$AU75,$AV75,$F75),'SKU Dist'!$E$2:$X$200,'SKU Dist'!P$1,FALSE),""))</f>
        <v/>
      </c>
      <c r="W75" s="637" t="str">
        <f>IF(IF($AT75&lt;&gt;"",VLOOKUP(CONCATENATE($AT75,$AU75,$AV75,$F75),'SKU Dist'!$E$2:$X$200,'SKU Dist'!Q$1,FALSE),"")=0,"",IF($AT75&lt;&gt;"",VLOOKUP(CONCATENATE($AT75,$AU75,$AV75,$F75),'SKU Dist'!$E$2:$X$200,'SKU Dist'!Q$1,FALSE),""))</f>
        <v/>
      </c>
      <c r="X75" s="637" t="str">
        <f>IF(IF($AT75&lt;&gt;"",VLOOKUP(CONCATENATE($AT75,$AU75,$AV75,$F75),'SKU Dist'!$E$2:$X$200,'SKU Dist'!R$1,FALSE),"")=0,"",IF($AT75&lt;&gt;"",VLOOKUP(CONCATENATE($AT75,$AU75,$AV75,$F75),'SKU Dist'!$E$2:$X$200,'SKU Dist'!R$1,FALSE),""))</f>
        <v/>
      </c>
      <c r="Y75" s="637" t="str">
        <f>IF(IF($AT75&lt;&gt;"",VLOOKUP(CONCATENATE($AT75,$AU75,$AV75,$F75),'SKU Dist'!$E$2:$X$200,'SKU Dist'!S$1,FALSE),"")=0,"",IF($AT75&lt;&gt;"",VLOOKUP(CONCATENATE($AT75,$AU75,$AV75,$F75),'SKU Dist'!$E$2:$X$200,'SKU Dist'!S$1,FALSE),""))</f>
        <v/>
      </c>
      <c r="Z75" s="637" t="str">
        <f>IF(IF($AT75&lt;&gt;"",VLOOKUP(CONCATENATE($AT75,$AU75,$AV75,$F75),'SKU Dist'!$E$2:$X$200,'SKU Dist'!T$1,FALSE),"")=0,"",IF($AT75&lt;&gt;"",VLOOKUP(CONCATENATE($AT75,$AU75,$AV75,$F75),'SKU Dist'!$E$2:$X$200,'SKU Dist'!T$1,FALSE),""))</f>
        <v/>
      </c>
      <c r="AA75" s="637" t="str">
        <f>IF(IF($AT75&lt;&gt;"",VLOOKUP(CONCATENATE($AT75,$AU75,$AV75,$F75),'SKU Dist'!$E$2:$X$200,'SKU Dist'!U$1,FALSE),"")=0,"",IF($AT75&lt;&gt;"",VLOOKUP(CONCATENATE($AT75,$AU75,$AV75,$F75),'SKU Dist'!$E$2:$X$200,'SKU Dist'!U$1,FALSE),""))</f>
        <v/>
      </c>
      <c r="AB75" s="637" t="str">
        <f>IF(IF($AT75&lt;&gt;"",VLOOKUP(CONCATENATE($AT75,$AU75,$AV75,$F75),'SKU Dist'!$E$2:$X$200,'SKU Dist'!V$1,FALSE),"")=0,"",IF($AT75&lt;&gt;"",VLOOKUP(CONCATENATE($AT75,$AU75,$AV75,$F75),'SKU Dist'!$E$2:$X$200,'SKU Dist'!V$1,FALSE),""))</f>
        <v/>
      </c>
      <c r="AC75" s="444"/>
      <c r="AD75" s="444"/>
      <c r="AE75" s="444"/>
      <c r="AF75" s="444"/>
      <c r="AG75" s="842">
        <f t="shared" ref="AG75:AG76" si="61">SUM(G75:AF75)</f>
        <v>0</v>
      </c>
      <c r="AH75" s="821">
        <v>115</v>
      </c>
      <c r="AI75" s="946">
        <f t="shared" ref="AI75:AI94" si="62">AG75*AH75</f>
        <v>0</v>
      </c>
      <c r="AJ75" s="929"/>
      <c r="AT75" s="222" t="str">
        <f t="shared" si="1"/>
        <v/>
      </c>
      <c r="AU75" s="206" t="s">
        <v>22</v>
      </c>
      <c r="AV75" s="206" t="s">
        <v>10</v>
      </c>
    </row>
    <row r="76" spans="1:48" ht="16.5" thickBot="1" x14ac:dyDescent="0.3">
      <c r="A76" s="631" t="s">
        <v>276</v>
      </c>
      <c r="B76" s="1029"/>
      <c r="C76" s="861" t="s">
        <v>257</v>
      </c>
      <c r="D76" s="873" t="s">
        <v>296</v>
      </c>
      <c r="E76" s="890">
        <v>3953</v>
      </c>
      <c r="F76" s="898" t="s">
        <v>68</v>
      </c>
      <c r="G76" s="641"/>
      <c r="H76" s="392"/>
      <c r="I76" s="392"/>
      <c r="J76" s="392"/>
      <c r="K76" s="392"/>
      <c r="L76" s="392"/>
      <c r="M76" s="392"/>
      <c r="N76" s="392"/>
      <c r="O76" s="392"/>
      <c r="P76" s="392"/>
      <c r="Q76" s="392"/>
      <c r="R76" s="635" t="str">
        <f>IF(IF($AT76&lt;&gt;"",VLOOKUP(CONCATENATE($AT76,$AU76,$AV76,$F76),'SKU Dist'!$E$2:$X$200,'SKU Dist'!L$1,FALSE),"")=0,"",IF($AT76&lt;&gt;"",VLOOKUP(CONCATENATE($AT76,$AU76,$AV76,$F76),'SKU Dist'!$E$2:$X$200,'SKU Dist'!L$1,FALSE),""))</f>
        <v/>
      </c>
      <c r="S76" s="635" t="str">
        <f>IF(IF($AT76&lt;&gt;"",VLOOKUP(CONCATENATE($AT76,$AU76,$AV76,$F76),'SKU Dist'!$E$2:$X$200,'SKU Dist'!M$1,FALSE),"")=0,"",IF($AT76&lt;&gt;"",VLOOKUP(CONCATENATE($AT76,$AU76,$AV76,$F76),'SKU Dist'!$E$2:$X$200,'SKU Dist'!M$1,FALSE),""))</f>
        <v/>
      </c>
      <c r="T76" s="635" t="str">
        <f>IF(IF($AT76&lt;&gt;"",VLOOKUP(CONCATENATE($AT76,$AU76,$AV76,$F76),'SKU Dist'!$E$2:$X$200,'SKU Dist'!N$1,FALSE),"")=0,"",IF($AT76&lt;&gt;"",VLOOKUP(CONCATENATE($AT76,$AU76,$AV76,$F76),'SKU Dist'!$E$2:$X$200,'SKU Dist'!N$1,FALSE),""))</f>
        <v/>
      </c>
      <c r="U76" s="635" t="str">
        <f>IF(IF($AT76&lt;&gt;"",VLOOKUP(CONCATENATE($AT76,$AU76,$AV76,$F76),'SKU Dist'!$E$2:$X$200,'SKU Dist'!O$1,FALSE),"")=0,"",IF($AT76&lt;&gt;"",VLOOKUP(CONCATENATE($AT76,$AU76,$AV76,$F76),'SKU Dist'!$E$2:$X$200,'SKU Dist'!O$1,FALSE),""))</f>
        <v/>
      </c>
      <c r="V76" s="635" t="str">
        <f>IF(IF($AT76&lt;&gt;"",VLOOKUP(CONCATENATE($AT76,$AU76,$AV76,$F76),'SKU Dist'!$E$2:$X$200,'SKU Dist'!P$1,FALSE),"")=0,"",IF($AT76&lt;&gt;"",VLOOKUP(CONCATENATE($AT76,$AU76,$AV76,$F76),'SKU Dist'!$E$2:$X$200,'SKU Dist'!P$1,FALSE),""))</f>
        <v/>
      </c>
      <c r="W76" s="635" t="str">
        <f>IF(IF($AT76&lt;&gt;"",VLOOKUP(CONCATENATE($AT76,$AU76,$AV76,$F76),'SKU Dist'!$E$2:$X$200,'SKU Dist'!Q$1,FALSE),"")=0,"",IF($AT76&lt;&gt;"",VLOOKUP(CONCATENATE($AT76,$AU76,$AV76,$F76),'SKU Dist'!$E$2:$X$200,'SKU Dist'!Q$1,FALSE),""))</f>
        <v/>
      </c>
      <c r="X76" s="635" t="str">
        <f>IF(IF($AT76&lt;&gt;"",VLOOKUP(CONCATENATE($AT76,$AU76,$AV76,$F76),'SKU Dist'!$E$2:$X$200,'SKU Dist'!R$1,FALSE),"")=0,"",IF($AT76&lt;&gt;"",VLOOKUP(CONCATENATE($AT76,$AU76,$AV76,$F76),'SKU Dist'!$E$2:$X$200,'SKU Dist'!R$1,FALSE),""))</f>
        <v/>
      </c>
      <c r="Y76" s="635" t="str">
        <f>IF(IF($AT76&lt;&gt;"",VLOOKUP(CONCATENATE($AT76,$AU76,$AV76,$F76),'SKU Dist'!$E$2:$X$200,'SKU Dist'!S$1,FALSE),"")=0,"",IF($AT76&lt;&gt;"",VLOOKUP(CONCATENATE($AT76,$AU76,$AV76,$F76),'SKU Dist'!$E$2:$X$200,'SKU Dist'!S$1,FALSE),""))</f>
        <v/>
      </c>
      <c r="Z76" s="635" t="str">
        <f>IF(IF($AT76&lt;&gt;"",VLOOKUP(CONCATENATE($AT76,$AU76,$AV76,$F76),'SKU Dist'!$E$2:$X$200,'SKU Dist'!T$1,FALSE),"")=0,"",IF($AT76&lt;&gt;"",VLOOKUP(CONCATENATE($AT76,$AU76,$AV76,$F76),'SKU Dist'!$E$2:$X$200,'SKU Dist'!T$1,FALSE),""))</f>
        <v/>
      </c>
      <c r="AA76" s="635" t="str">
        <f>IF(IF($AT76&lt;&gt;"",VLOOKUP(CONCATENATE($AT76,$AU76,$AV76,$F76),'SKU Dist'!$E$2:$X$200,'SKU Dist'!U$1,FALSE),"")=0,"",IF($AT76&lt;&gt;"",VLOOKUP(CONCATENATE($AT76,$AU76,$AV76,$F76),'SKU Dist'!$E$2:$X$200,'SKU Dist'!U$1,FALSE),""))</f>
        <v/>
      </c>
      <c r="AB76" s="635" t="str">
        <f>IF(IF($AT76&lt;&gt;"",VLOOKUP(CONCATENATE($AT76,$AU76,$AV76,$F76),'SKU Dist'!$E$2:$X$200,'SKU Dist'!V$1,FALSE),"")=0,"",IF($AT76&lt;&gt;"",VLOOKUP(CONCATENATE($AT76,$AU76,$AV76,$F76),'SKU Dist'!$E$2:$X$200,'SKU Dist'!V$1,FALSE),""))</f>
        <v/>
      </c>
      <c r="AC76" s="390"/>
      <c r="AD76" s="390"/>
      <c r="AE76" s="390"/>
      <c r="AF76" s="390"/>
      <c r="AG76" s="803">
        <f t="shared" si="61"/>
        <v>0</v>
      </c>
      <c r="AH76" s="814">
        <v>115</v>
      </c>
      <c r="AI76" s="948">
        <f t="shared" si="62"/>
        <v>0</v>
      </c>
      <c r="AJ76" s="931"/>
      <c r="AT76" s="222" t="str">
        <f t="shared" si="1"/>
        <v/>
      </c>
      <c r="AU76" s="206" t="s">
        <v>22</v>
      </c>
      <c r="AV76" s="206" t="s">
        <v>10</v>
      </c>
    </row>
    <row r="77" spans="1:48" ht="15.75" x14ac:dyDescent="0.25">
      <c r="A77" s="843">
        <f>SUM(AG75:AG80)</f>
        <v>0</v>
      </c>
      <c r="B77" s="1031"/>
      <c r="C77" s="857" t="s">
        <v>257</v>
      </c>
      <c r="D77" s="868" t="s">
        <v>296</v>
      </c>
      <c r="E77" s="888">
        <v>3954</v>
      </c>
      <c r="F77" s="887" t="s">
        <v>35</v>
      </c>
      <c r="G77" s="641"/>
      <c r="H77" s="392"/>
      <c r="I77" s="392"/>
      <c r="J77" s="392"/>
      <c r="K77" s="392"/>
      <c r="L77" s="392"/>
      <c r="M77" s="392"/>
      <c r="N77" s="392"/>
      <c r="O77" s="392"/>
      <c r="P77" s="392"/>
      <c r="Q77" s="392"/>
      <c r="R77" s="389" t="str">
        <f>IF(IF($AT77&lt;&gt;"",VLOOKUP(CONCATENATE($AT77,$AU77,$AV77,$F77),'SKU Dist'!$E$2:$X$200,'SKU Dist'!L$1,FALSE),"")=0,"",IF($AT77&lt;&gt;"",VLOOKUP(CONCATENATE($AT77,$AU77,$AV77,$F77),'SKU Dist'!$E$2:$X$200,'SKU Dist'!L$1,FALSE),""))</f>
        <v/>
      </c>
      <c r="S77" s="389" t="str">
        <f>IF(IF($AT77&lt;&gt;"",VLOOKUP(CONCATENATE($AT77,$AU77,$AV77,$F77),'SKU Dist'!$E$2:$X$200,'SKU Dist'!M$1,FALSE),"")=0,"",IF($AT77&lt;&gt;"",VLOOKUP(CONCATENATE($AT77,$AU77,$AV77,$F77),'SKU Dist'!$E$2:$X$200,'SKU Dist'!M$1,FALSE),""))</f>
        <v/>
      </c>
      <c r="T77" s="389" t="str">
        <f>IF(IF($AT77&lt;&gt;"",VLOOKUP(CONCATENATE($AT77,$AU77,$AV77,$F77),'SKU Dist'!$E$2:$X$200,'SKU Dist'!N$1,FALSE),"")=0,"",IF($AT77&lt;&gt;"",VLOOKUP(CONCATENATE($AT77,$AU77,$AV77,$F77),'SKU Dist'!$E$2:$X$200,'SKU Dist'!N$1,FALSE),""))</f>
        <v/>
      </c>
      <c r="U77" s="389" t="str">
        <f>IF(IF($AT77&lt;&gt;"",VLOOKUP(CONCATENATE($AT77,$AU77,$AV77,$F77),'SKU Dist'!$E$2:$X$200,'SKU Dist'!O$1,FALSE),"")=0,"",IF($AT77&lt;&gt;"",VLOOKUP(CONCATENATE($AT77,$AU77,$AV77,$F77),'SKU Dist'!$E$2:$X$200,'SKU Dist'!O$1,FALSE),""))</f>
        <v/>
      </c>
      <c r="V77" s="389" t="str">
        <f>IF(IF($AT77&lt;&gt;"",VLOOKUP(CONCATENATE($AT77,$AU77,$AV77,$F77),'SKU Dist'!$E$2:$X$200,'SKU Dist'!P$1,FALSE),"")=0,"",IF($AT77&lt;&gt;"",VLOOKUP(CONCATENATE($AT77,$AU77,$AV77,$F77),'SKU Dist'!$E$2:$X$200,'SKU Dist'!P$1,FALSE),""))</f>
        <v/>
      </c>
      <c r="W77" s="389" t="str">
        <f>IF(IF($AT77&lt;&gt;"",VLOOKUP(CONCATENATE($AT77,$AU77,$AV77,$F77),'SKU Dist'!$E$2:$X$200,'SKU Dist'!Q$1,FALSE),"")=0,"",IF($AT77&lt;&gt;"",VLOOKUP(CONCATENATE($AT77,$AU77,$AV77,$F77),'SKU Dist'!$E$2:$X$200,'SKU Dist'!Q$1,FALSE),""))</f>
        <v/>
      </c>
      <c r="X77" s="389" t="str">
        <f>IF(IF($AT77&lt;&gt;"",VLOOKUP(CONCATENATE($AT77,$AU77,$AV77,$F77),'SKU Dist'!$E$2:$X$200,'SKU Dist'!R$1,FALSE),"")=0,"",IF($AT77&lt;&gt;"",VLOOKUP(CONCATENATE($AT77,$AU77,$AV77,$F77),'SKU Dist'!$E$2:$X$200,'SKU Dist'!R$1,FALSE),""))</f>
        <v/>
      </c>
      <c r="Y77" s="389" t="str">
        <f>IF(IF($AT77&lt;&gt;"",VLOOKUP(CONCATENATE($AT77,$AU77,$AV77,$F77),'SKU Dist'!$E$2:$X$200,'SKU Dist'!S$1,FALSE),"")=0,"",IF($AT77&lt;&gt;"",VLOOKUP(CONCATENATE($AT77,$AU77,$AV77,$F77),'SKU Dist'!$E$2:$X$200,'SKU Dist'!S$1,FALSE),""))</f>
        <v/>
      </c>
      <c r="Z77" s="389" t="str">
        <f>IF(IF($AT77&lt;&gt;"",VLOOKUP(CONCATENATE($AT77,$AU77,$AV77,$F77),'SKU Dist'!$E$2:$X$200,'SKU Dist'!T$1,FALSE),"")=0,"",IF($AT77&lt;&gt;"",VLOOKUP(CONCATENATE($AT77,$AU77,$AV77,$F77),'SKU Dist'!$E$2:$X$200,'SKU Dist'!T$1,FALSE),""))</f>
        <v/>
      </c>
      <c r="AA77" s="389" t="str">
        <f>IF(IF($AT77&lt;&gt;"",VLOOKUP(CONCATENATE($AT77,$AU77,$AV77,$F77),'SKU Dist'!$E$2:$X$200,'SKU Dist'!U$1,FALSE),"")=0,"",IF($AT77&lt;&gt;"",VLOOKUP(CONCATENATE($AT77,$AU77,$AV77,$F77),'SKU Dist'!$E$2:$X$200,'SKU Dist'!U$1,FALSE),""))</f>
        <v/>
      </c>
      <c r="AB77" s="389" t="str">
        <f>IF(IF($AT77&lt;&gt;"",VLOOKUP(CONCATENATE($AT77,$AU77,$AV77,$F77),'SKU Dist'!$E$2:$X$200,'SKU Dist'!V$1,FALSE),"")=0,"",IF($AT77&lt;&gt;"",VLOOKUP(CONCATENATE($AT77,$AU77,$AV77,$F77),'SKU Dist'!$E$2:$X$200,'SKU Dist'!V$1,FALSE),""))</f>
        <v/>
      </c>
      <c r="AC77" s="390"/>
      <c r="AD77" s="390"/>
      <c r="AE77" s="390"/>
      <c r="AF77" s="390"/>
      <c r="AG77" s="919">
        <f t="shared" ref="AG77:AG78" si="63">SUM(G77:AF77)</f>
        <v>0</v>
      </c>
      <c r="AH77" s="817">
        <v>120</v>
      </c>
      <c r="AI77" s="943">
        <f t="shared" si="62"/>
        <v>0</v>
      </c>
      <c r="AJ77" s="926"/>
      <c r="AT77" s="222" t="str">
        <f t="shared" si="1"/>
        <v/>
      </c>
      <c r="AU77" s="206" t="s">
        <v>22</v>
      </c>
      <c r="AV77" s="206" t="s">
        <v>10</v>
      </c>
    </row>
    <row r="78" spans="1:48" ht="15.75" x14ac:dyDescent="0.25">
      <c r="A78" s="655">
        <f>SUM(AI75:AI80)</f>
        <v>0</v>
      </c>
      <c r="B78" s="1031"/>
      <c r="C78" s="857" t="s">
        <v>257</v>
      </c>
      <c r="D78" s="868" t="s">
        <v>296</v>
      </c>
      <c r="E78" s="888">
        <v>3954</v>
      </c>
      <c r="F78" s="887" t="s">
        <v>68</v>
      </c>
      <c r="G78" s="641"/>
      <c r="H78" s="392"/>
      <c r="I78" s="392"/>
      <c r="J78" s="392"/>
      <c r="K78" s="392"/>
      <c r="L78" s="392"/>
      <c r="M78" s="392"/>
      <c r="N78" s="392"/>
      <c r="O78" s="392"/>
      <c r="P78" s="392"/>
      <c r="Q78" s="392"/>
      <c r="R78" s="389" t="str">
        <f>IF(IF($AT78&lt;&gt;"",VLOOKUP(CONCATENATE($AT78,$AU78,$AV78,$F78),'SKU Dist'!$E$2:$X$200,'SKU Dist'!L$1,FALSE),"")=0,"",IF($AT78&lt;&gt;"",VLOOKUP(CONCATENATE($AT78,$AU78,$AV78,$F78),'SKU Dist'!$E$2:$X$200,'SKU Dist'!L$1,FALSE),""))</f>
        <v/>
      </c>
      <c r="S78" s="389" t="str">
        <f>IF(IF($AT78&lt;&gt;"",VLOOKUP(CONCATENATE($AT78,$AU78,$AV78,$F78),'SKU Dist'!$E$2:$X$200,'SKU Dist'!M$1,FALSE),"")=0,"",IF($AT78&lt;&gt;"",VLOOKUP(CONCATENATE($AT78,$AU78,$AV78,$F78),'SKU Dist'!$E$2:$X$200,'SKU Dist'!M$1,FALSE),""))</f>
        <v/>
      </c>
      <c r="T78" s="389" t="str">
        <f>IF(IF($AT78&lt;&gt;"",VLOOKUP(CONCATENATE($AT78,$AU78,$AV78,$F78),'SKU Dist'!$E$2:$X$200,'SKU Dist'!N$1,FALSE),"")=0,"",IF($AT78&lt;&gt;"",VLOOKUP(CONCATENATE($AT78,$AU78,$AV78,$F78),'SKU Dist'!$E$2:$X$200,'SKU Dist'!N$1,FALSE),""))</f>
        <v/>
      </c>
      <c r="U78" s="389" t="str">
        <f>IF(IF($AT78&lt;&gt;"",VLOOKUP(CONCATENATE($AT78,$AU78,$AV78,$F78),'SKU Dist'!$E$2:$X$200,'SKU Dist'!O$1,FALSE),"")=0,"",IF($AT78&lt;&gt;"",VLOOKUP(CONCATENATE($AT78,$AU78,$AV78,$F78),'SKU Dist'!$E$2:$X$200,'SKU Dist'!O$1,FALSE),""))</f>
        <v/>
      </c>
      <c r="V78" s="389" t="str">
        <f>IF(IF($AT78&lt;&gt;"",VLOOKUP(CONCATENATE($AT78,$AU78,$AV78,$F78),'SKU Dist'!$E$2:$X$200,'SKU Dist'!P$1,FALSE),"")=0,"",IF($AT78&lt;&gt;"",VLOOKUP(CONCATENATE($AT78,$AU78,$AV78,$F78),'SKU Dist'!$E$2:$X$200,'SKU Dist'!P$1,FALSE),""))</f>
        <v/>
      </c>
      <c r="W78" s="389" t="str">
        <f>IF(IF($AT78&lt;&gt;"",VLOOKUP(CONCATENATE($AT78,$AU78,$AV78,$F78),'SKU Dist'!$E$2:$X$200,'SKU Dist'!Q$1,FALSE),"")=0,"",IF($AT78&lt;&gt;"",VLOOKUP(CONCATENATE($AT78,$AU78,$AV78,$F78),'SKU Dist'!$E$2:$X$200,'SKU Dist'!Q$1,FALSE),""))</f>
        <v/>
      </c>
      <c r="X78" s="389" t="str">
        <f>IF(IF($AT78&lt;&gt;"",VLOOKUP(CONCATENATE($AT78,$AU78,$AV78,$F78),'SKU Dist'!$E$2:$X$200,'SKU Dist'!R$1,FALSE),"")=0,"",IF($AT78&lt;&gt;"",VLOOKUP(CONCATENATE($AT78,$AU78,$AV78,$F78),'SKU Dist'!$E$2:$X$200,'SKU Dist'!R$1,FALSE),""))</f>
        <v/>
      </c>
      <c r="Y78" s="389" t="str">
        <f>IF(IF($AT78&lt;&gt;"",VLOOKUP(CONCATENATE($AT78,$AU78,$AV78,$F78),'SKU Dist'!$E$2:$X$200,'SKU Dist'!S$1,FALSE),"")=0,"",IF($AT78&lt;&gt;"",VLOOKUP(CONCATENATE($AT78,$AU78,$AV78,$F78),'SKU Dist'!$E$2:$X$200,'SKU Dist'!S$1,FALSE),""))</f>
        <v/>
      </c>
      <c r="Z78" s="389" t="str">
        <f>IF(IF($AT78&lt;&gt;"",VLOOKUP(CONCATENATE($AT78,$AU78,$AV78,$F78),'SKU Dist'!$E$2:$X$200,'SKU Dist'!T$1,FALSE),"")=0,"",IF($AT78&lt;&gt;"",VLOOKUP(CONCATENATE($AT78,$AU78,$AV78,$F78),'SKU Dist'!$E$2:$X$200,'SKU Dist'!T$1,FALSE),""))</f>
        <v/>
      </c>
      <c r="AA78" s="389" t="str">
        <f>IF(IF($AT78&lt;&gt;"",VLOOKUP(CONCATENATE($AT78,$AU78,$AV78,$F78),'SKU Dist'!$E$2:$X$200,'SKU Dist'!U$1,FALSE),"")=0,"",IF($AT78&lt;&gt;"",VLOOKUP(CONCATENATE($AT78,$AU78,$AV78,$F78),'SKU Dist'!$E$2:$X$200,'SKU Dist'!U$1,FALSE),""))</f>
        <v/>
      </c>
      <c r="AB78" s="389" t="str">
        <f>IF(IF($AT78&lt;&gt;"",VLOOKUP(CONCATENATE($AT78,$AU78,$AV78,$F78),'SKU Dist'!$E$2:$X$200,'SKU Dist'!V$1,FALSE),"")=0,"",IF($AT78&lt;&gt;"",VLOOKUP(CONCATENATE($AT78,$AU78,$AV78,$F78),'SKU Dist'!$E$2:$X$200,'SKU Dist'!V$1,FALSE),""))</f>
        <v/>
      </c>
      <c r="AC78" s="390"/>
      <c r="AD78" s="390"/>
      <c r="AE78" s="390"/>
      <c r="AF78" s="390"/>
      <c r="AG78" s="919">
        <f t="shared" si="63"/>
        <v>0</v>
      </c>
      <c r="AH78" s="817">
        <v>120</v>
      </c>
      <c r="AI78" s="943">
        <f t="shared" si="62"/>
        <v>0</v>
      </c>
      <c r="AJ78" s="926"/>
      <c r="AT78" s="222" t="str">
        <f t="shared" si="1"/>
        <v/>
      </c>
      <c r="AU78" s="206" t="s">
        <v>22</v>
      </c>
      <c r="AV78" s="206" t="s">
        <v>10</v>
      </c>
    </row>
    <row r="79" spans="1:48" ht="15.75" x14ac:dyDescent="0.25">
      <c r="A79" s="840"/>
      <c r="B79" s="1029"/>
      <c r="C79" s="861" t="s">
        <v>257</v>
      </c>
      <c r="D79" s="873" t="s">
        <v>296</v>
      </c>
      <c r="E79" s="890">
        <v>3955</v>
      </c>
      <c r="F79" s="898" t="s">
        <v>35</v>
      </c>
      <c r="G79" s="641"/>
      <c r="H79" s="392"/>
      <c r="I79" s="392"/>
      <c r="J79" s="392"/>
      <c r="K79" s="392"/>
      <c r="L79" s="392"/>
      <c r="M79" s="392"/>
      <c r="N79" s="392"/>
      <c r="O79" s="392"/>
      <c r="P79" s="392"/>
      <c r="Q79" s="392"/>
      <c r="R79" s="635" t="str">
        <f>IF(IF($AT79&lt;&gt;"",VLOOKUP(CONCATENATE($AT79,$AU79,$AV79,$F79),'SKU Dist'!$E$2:$X$200,'SKU Dist'!L$1,FALSE),"")=0,"",IF($AT79&lt;&gt;"",VLOOKUP(CONCATENATE($AT79,$AU79,$AV79,$F79),'SKU Dist'!$E$2:$X$200,'SKU Dist'!L$1,FALSE),""))</f>
        <v/>
      </c>
      <c r="S79" s="635" t="str">
        <f>IF(IF($AT79&lt;&gt;"",VLOOKUP(CONCATENATE($AT79,$AU79,$AV79,$F79),'SKU Dist'!$E$2:$X$200,'SKU Dist'!M$1,FALSE),"")=0,"",IF($AT79&lt;&gt;"",VLOOKUP(CONCATENATE($AT79,$AU79,$AV79,$F79),'SKU Dist'!$E$2:$X$200,'SKU Dist'!M$1,FALSE),""))</f>
        <v/>
      </c>
      <c r="T79" s="635" t="str">
        <f>IF(IF($AT79&lt;&gt;"",VLOOKUP(CONCATENATE($AT79,$AU79,$AV79,$F79),'SKU Dist'!$E$2:$X$200,'SKU Dist'!N$1,FALSE),"")=0,"",IF($AT79&lt;&gt;"",VLOOKUP(CONCATENATE($AT79,$AU79,$AV79,$F79),'SKU Dist'!$E$2:$X$200,'SKU Dist'!N$1,FALSE),""))</f>
        <v/>
      </c>
      <c r="U79" s="635" t="str">
        <f>IF(IF($AT79&lt;&gt;"",VLOOKUP(CONCATENATE($AT79,$AU79,$AV79,$F79),'SKU Dist'!$E$2:$X$200,'SKU Dist'!O$1,FALSE),"")=0,"",IF($AT79&lt;&gt;"",VLOOKUP(CONCATENATE($AT79,$AU79,$AV79,$F79),'SKU Dist'!$E$2:$X$200,'SKU Dist'!O$1,FALSE),""))</f>
        <v/>
      </c>
      <c r="V79" s="635" t="str">
        <f>IF(IF($AT79&lt;&gt;"",VLOOKUP(CONCATENATE($AT79,$AU79,$AV79,$F79),'SKU Dist'!$E$2:$X$200,'SKU Dist'!P$1,FALSE),"")=0,"",IF($AT79&lt;&gt;"",VLOOKUP(CONCATENATE($AT79,$AU79,$AV79,$F79),'SKU Dist'!$E$2:$X$200,'SKU Dist'!P$1,FALSE),""))</f>
        <v/>
      </c>
      <c r="W79" s="635" t="str">
        <f>IF(IF($AT79&lt;&gt;"",VLOOKUP(CONCATENATE($AT79,$AU79,$AV79,$F79),'SKU Dist'!$E$2:$X$200,'SKU Dist'!Q$1,FALSE),"")=0,"",IF($AT79&lt;&gt;"",VLOOKUP(CONCATENATE($AT79,$AU79,$AV79,$F79),'SKU Dist'!$E$2:$X$200,'SKU Dist'!Q$1,FALSE),""))</f>
        <v/>
      </c>
      <c r="X79" s="635" t="str">
        <f>IF(IF($AT79&lt;&gt;"",VLOOKUP(CONCATENATE($AT79,$AU79,$AV79,$F79),'SKU Dist'!$E$2:$X$200,'SKU Dist'!R$1,FALSE),"")=0,"",IF($AT79&lt;&gt;"",VLOOKUP(CONCATENATE($AT79,$AU79,$AV79,$F79),'SKU Dist'!$E$2:$X$200,'SKU Dist'!R$1,FALSE),""))</f>
        <v/>
      </c>
      <c r="Y79" s="635" t="str">
        <f>IF(IF($AT79&lt;&gt;"",VLOOKUP(CONCATENATE($AT79,$AU79,$AV79,$F79),'SKU Dist'!$E$2:$X$200,'SKU Dist'!S$1,FALSE),"")=0,"",IF($AT79&lt;&gt;"",VLOOKUP(CONCATENATE($AT79,$AU79,$AV79,$F79),'SKU Dist'!$E$2:$X$200,'SKU Dist'!S$1,FALSE),""))</f>
        <v/>
      </c>
      <c r="Z79" s="635" t="str">
        <f>IF(IF($AT79&lt;&gt;"",VLOOKUP(CONCATENATE($AT79,$AU79,$AV79,$F79),'SKU Dist'!$E$2:$X$200,'SKU Dist'!T$1,FALSE),"")=0,"",IF($AT79&lt;&gt;"",VLOOKUP(CONCATENATE($AT79,$AU79,$AV79,$F79),'SKU Dist'!$E$2:$X$200,'SKU Dist'!T$1,FALSE),""))</f>
        <v/>
      </c>
      <c r="AA79" s="635" t="str">
        <f>IF(IF($AT79&lt;&gt;"",VLOOKUP(CONCATENATE($AT79,$AU79,$AV79,$F79),'SKU Dist'!$E$2:$X$200,'SKU Dist'!U$1,FALSE),"")=0,"",IF($AT79&lt;&gt;"",VLOOKUP(CONCATENATE($AT79,$AU79,$AV79,$F79),'SKU Dist'!$E$2:$X$200,'SKU Dist'!U$1,FALSE),""))</f>
        <v/>
      </c>
      <c r="AB79" s="635" t="str">
        <f>IF(IF($AT79&lt;&gt;"",VLOOKUP(CONCATENATE($AT79,$AU79,$AV79,$F79),'SKU Dist'!$E$2:$X$200,'SKU Dist'!V$1,FALSE),"")=0,"",IF($AT79&lt;&gt;"",VLOOKUP(CONCATENATE($AT79,$AU79,$AV79,$F79),'SKU Dist'!$E$2:$X$200,'SKU Dist'!V$1,FALSE),""))</f>
        <v/>
      </c>
      <c r="AC79" s="390"/>
      <c r="AD79" s="390"/>
      <c r="AE79" s="390"/>
      <c r="AF79" s="390"/>
      <c r="AG79" s="803">
        <f t="shared" ref="AG79:AG80" si="64">SUM(G79:AF79)</f>
        <v>0</v>
      </c>
      <c r="AH79" s="814">
        <v>120</v>
      </c>
      <c r="AI79" s="948">
        <f t="shared" ref="AI79:AI80" si="65">AG79*AH79</f>
        <v>0</v>
      </c>
      <c r="AJ79" s="931"/>
      <c r="AT79" s="222" t="str">
        <f t="shared" si="1"/>
        <v/>
      </c>
      <c r="AU79" s="206" t="s">
        <v>22</v>
      </c>
      <c r="AV79" s="206" t="s">
        <v>10</v>
      </c>
    </row>
    <row r="80" spans="1:48" ht="15.75" x14ac:dyDescent="0.25">
      <c r="A80" s="840"/>
      <c r="B80" s="1029"/>
      <c r="C80" s="861" t="s">
        <v>257</v>
      </c>
      <c r="D80" s="873" t="s">
        <v>296</v>
      </c>
      <c r="E80" s="890">
        <v>3955</v>
      </c>
      <c r="F80" s="898" t="s">
        <v>68</v>
      </c>
      <c r="G80" s="641"/>
      <c r="H80" s="392"/>
      <c r="I80" s="392"/>
      <c r="J80" s="392"/>
      <c r="K80" s="392"/>
      <c r="L80" s="392"/>
      <c r="M80" s="392"/>
      <c r="N80" s="392"/>
      <c r="O80" s="392"/>
      <c r="P80" s="392"/>
      <c r="Q80" s="392"/>
      <c r="R80" s="635" t="str">
        <f>IF(IF($AT80&lt;&gt;"",VLOOKUP(CONCATENATE($AT80,$AU80,$AV80,$F80),'SKU Dist'!$E$2:$X$200,'SKU Dist'!L$1,FALSE),"")=0,"",IF($AT80&lt;&gt;"",VLOOKUP(CONCATENATE($AT80,$AU80,$AV80,$F80),'SKU Dist'!$E$2:$X$200,'SKU Dist'!L$1,FALSE),""))</f>
        <v/>
      </c>
      <c r="S80" s="635" t="str">
        <f>IF(IF($AT80&lt;&gt;"",VLOOKUP(CONCATENATE($AT80,$AU80,$AV80,$F80),'SKU Dist'!$E$2:$X$200,'SKU Dist'!M$1,FALSE),"")=0,"",IF($AT80&lt;&gt;"",VLOOKUP(CONCATENATE($AT80,$AU80,$AV80,$F80),'SKU Dist'!$E$2:$X$200,'SKU Dist'!M$1,FALSE),""))</f>
        <v/>
      </c>
      <c r="T80" s="635" t="str">
        <f>IF(IF($AT80&lt;&gt;"",VLOOKUP(CONCATENATE($AT80,$AU80,$AV80,$F80),'SKU Dist'!$E$2:$X$200,'SKU Dist'!N$1,FALSE),"")=0,"",IF($AT80&lt;&gt;"",VLOOKUP(CONCATENATE($AT80,$AU80,$AV80,$F80),'SKU Dist'!$E$2:$X$200,'SKU Dist'!N$1,FALSE),""))</f>
        <v/>
      </c>
      <c r="U80" s="635" t="str">
        <f>IF(IF($AT80&lt;&gt;"",VLOOKUP(CONCATENATE($AT80,$AU80,$AV80,$F80),'SKU Dist'!$E$2:$X$200,'SKU Dist'!O$1,FALSE),"")=0,"",IF($AT80&lt;&gt;"",VLOOKUP(CONCATENATE($AT80,$AU80,$AV80,$F80),'SKU Dist'!$E$2:$X$200,'SKU Dist'!O$1,FALSE),""))</f>
        <v/>
      </c>
      <c r="V80" s="635" t="str">
        <f>IF(IF($AT80&lt;&gt;"",VLOOKUP(CONCATENATE($AT80,$AU80,$AV80,$F80),'SKU Dist'!$E$2:$X$200,'SKU Dist'!P$1,FALSE),"")=0,"",IF($AT80&lt;&gt;"",VLOOKUP(CONCATENATE($AT80,$AU80,$AV80,$F80),'SKU Dist'!$E$2:$X$200,'SKU Dist'!P$1,FALSE),""))</f>
        <v/>
      </c>
      <c r="W80" s="635" t="str">
        <f>IF(IF($AT80&lt;&gt;"",VLOOKUP(CONCATENATE($AT80,$AU80,$AV80,$F80),'SKU Dist'!$E$2:$X$200,'SKU Dist'!Q$1,FALSE),"")=0,"",IF($AT80&lt;&gt;"",VLOOKUP(CONCATENATE($AT80,$AU80,$AV80,$F80),'SKU Dist'!$E$2:$X$200,'SKU Dist'!Q$1,FALSE),""))</f>
        <v/>
      </c>
      <c r="X80" s="635" t="str">
        <f>IF(IF($AT80&lt;&gt;"",VLOOKUP(CONCATENATE($AT80,$AU80,$AV80,$F80),'SKU Dist'!$E$2:$X$200,'SKU Dist'!R$1,FALSE),"")=0,"",IF($AT80&lt;&gt;"",VLOOKUP(CONCATENATE($AT80,$AU80,$AV80,$F80),'SKU Dist'!$E$2:$X$200,'SKU Dist'!R$1,FALSE),""))</f>
        <v/>
      </c>
      <c r="Y80" s="635" t="str">
        <f>IF(IF($AT80&lt;&gt;"",VLOOKUP(CONCATENATE($AT80,$AU80,$AV80,$F80),'SKU Dist'!$E$2:$X$200,'SKU Dist'!S$1,FALSE),"")=0,"",IF($AT80&lt;&gt;"",VLOOKUP(CONCATENATE($AT80,$AU80,$AV80,$F80),'SKU Dist'!$E$2:$X$200,'SKU Dist'!S$1,FALSE),""))</f>
        <v/>
      </c>
      <c r="Z80" s="635" t="str">
        <f>IF(IF($AT80&lt;&gt;"",VLOOKUP(CONCATENATE($AT80,$AU80,$AV80,$F80),'SKU Dist'!$E$2:$X$200,'SKU Dist'!T$1,FALSE),"")=0,"",IF($AT80&lt;&gt;"",VLOOKUP(CONCATENATE($AT80,$AU80,$AV80,$F80),'SKU Dist'!$E$2:$X$200,'SKU Dist'!T$1,FALSE),""))</f>
        <v/>
      </c>
      <c r="AA80" s="635" t="str">
        <f>IF(IF($AT80&lt;&gt;"",VLOOKUP(CONCATENATE($AT80,$AU80,$AV80,$F80),'SKU Dist'!$E$2:$X$200,'SKU Dist'!U$1,FALSE),"")=0,"",IF($AT80&lt;&gt;"",VLOOKUP(CONCATENATE($AT80,$AU80,$AV80,$F80),'SKU Dist'!$E$2:$X$200,'SKU Dist'!U$1,FALSE),""))</f>
        <v/>
      </c>
      <c r="AB80" s="635" t="str">
        <f>IF(IF($AT80&lt;&gt;"",VLOOKUP(CONCATENATE($AT80,$AU80,$AV80,$F80),'SKU Dist'!$E$2:$X$200,'SKU Dist'!V$1,FALSE),"")=0,"",IF($AT80&lt;&gt;"",VLOOKUP(CONCATENATE($AT80,$AU80,$AV80,$F80),'SKU Dist'!$E$2:$X$200,'SKU Dist'!V$1,FALSE),""))</f>
        <v/>
      </c>
      <c r="AC80" s="390"/>
      <c r="AD80" s="390"/>
      <c r="AE80" s="390"/>
      <c r="AF80" s="390"/>
      <c r="AG80" s="803">
        <f t="shared" si="64"/>
        <v>0</v>
      </c>
      <c r="AH80" s="814">
        <v>120</v>
      </c>
      <c r="AI80" s="948">
        <f t="shared" si="65"/>
        <v>0</v>
      </c>
      <c r="AJ80" s="931"/>
      <c r="AT80" s="222" t="str">
        <f t="shared" si="1"/>
        <v/>
      </c>
      <c r="AU80" s="206" t="s">
        <v>22</v>
      </c>
      <c r="AV80" s="206" t="s">
        <v>10</v>
      </c>
    </row>
    <row r="81" spans="1:48" ht="15.75" x14ac:dyDescent="0.25">
      <c r="A81" s="840"/>
      <c r="B81" s="1031"/>
      <c r="C81" s="857" t="s">
        <v>257</v>
      </c>
      <c r="D81" s="868" t="s">
        <v>296</v>
      </c>
      <c r="E81" s="888">
        <v>3956</v>
      </c>
      <c r="F81" s="887" t="s">
        <v>35</v>
      </c>
      <c r="G81" s="641"/>
      <c r="H81" s="392"/>
      <c r="I81" s="392"/>
      <c r="J81" s="392"/>
      <c r="K81" s="392"/>
      <c r="L81" s="392"/>
      <c r="M81" s="392"/>
      <c r="N81" s="392"/>
      <c r="O81" s="392"/>
      <c r="P81" s="392"/>
      <c r="Q81" s="392"/>
      <c r="R81" s="389" t="str">
        <f>IF(IF($AT81&lt;&gt;"",VLOOKUP(CONCATENATE($AT81,$AU81,$AV81,$F81),'SKU Dist'!$E$2:$X$200,'SKU Dist'!L$1,FALSE),"")=0,"",IF($AT81&lt;&gt;"",VLOOKUP(CONCATENATE($AT81,$AU81,$AV81,$F81),'SKU Dist'!$E$2:$X$200,'SKU Dist'!L$1,FALSE),""))</f>
        <v/>
      </c>
      <c r="S81" s="389" t="str">
        <f>IF(IF($AT81&lt;&gt;"",VLOOKUP(CONCATENATE($AT81,$AU81,$AV81,$F81),'SKU Dist'!$E$2:$X$200,'SKU Dist'!M$1,FALSE),"")=0,"",IF($AT81&lt;&gt;"",VLOOKUP(CONCATENATE($AT81,$AU81,$AV81,$F81),'SKU Dist'!$E$2:$X$200,'SKU Dist'!M$1,FALSE),""))</f>
        <v/>
      </c>
      <c r="T81" s="389" t="str">
        <f>IF(IF($AT81&lt;&gt;"",VLOOKUP(CONCATENATE($AT81,$AU81,$AV81,$F81),'SKU Dist'!$E$2:$X$200,'SKU Dist'!N$1,FALSE),"")=0,"",IF($AT81&lt;&gt;"",VLOOKUP(CONCATENATE($AT81,$AU81,$AV81,$F81),'SKU Dist'!$E$2:$X$200,'SKU Dist'!N$1,FALSE),""))</f>
        <v/>
      </c>
      <c r="U81" s="389" t="str">
        <f>IF(IF($AT81&lt;&gt;"",VLOOKUP(CONCATENATE($AT81,$AU81,$AV81,$F81),'SKU Dist'!$E$2:$X$200,'SKU Dist'!O$1,FALSE),"")=0,"",IF($AT81&lt;&gt;"",VLOOKUP(CONCATENATE($AT81,$AU81,$AV81,$F81),'SKU Dist'!$E$2:$X$200,'SKU Dist'!O$1,FALSE),""))</f>
        <v/>
      </c>
      <c r="V81" s="389" t="str">
        <f>IF(IF($AT81&lt;&gt;"",VLOOKUP(CONCATENATE($AT81,$AU81,$AV81,$F81),'SKU Dist'!$E$2:$X$200,'SKU Dist'!P$1,FALSE),"")=0,"",IF($AT81&lt;&gt;"",VLOOKUP(CONCATENATE($AT81,$AU81,$AV81,$F81),'SKU Dist'!$E$2:$X$200,'SKU Dist'!P$1,FALSE),""))</f>
        <v/>
      </c>
      <c r="W81" s="389" t="str">
        <f>IF(IF($AT81&lt;&gt;"",VLOOKUP(CONCATENATE($AT81,$AU81,$AV81,$F81),'SKU Dist'!$E$2:$X$200,'SKU Dist'!Q$1,FALSE),"")=0,"",IF($AT81&lt;&gt;"",VLOOKUP(CONCATENATE($AT81,$AU81,$AV81,$F81),'SKU Dist'!$E$2:$X$200,'SKU Dist'!Q$1,FALSE),""))</f>
        <v/>
      </c>
      <c r="X81" s="389" t="str">
        <f>IF(IF($AT81&lt;&gt;"",VLOOKUP(CONCATENATE($AT81,$AU81,$AV81,$F81),'SKU Dist'!$E$2:$X$200,'SKU Dist'!R$1,FALSE),"")=0,"",IF($AT81&lt;&gt;"",VLOOKUP(CONCATENATE($AT81,$AU81,$AV81,$F81),'SKU Dist'!$E$2:$X$200,'SKU Dist'!R$1,FALSE),""))</f>
        <v/>
      </c>
      <c r="Y81" s="389" t="str">
        <f>IF(IF($AT81&lt;&gt;"",VLOOKUP(CONCATENATE($AT81,$AU81,$AV81,$F81),'SKU Dist'!$E$2:$X$200,'SKU Dist'!S$1,FALSE),"")=0,"",IF($AT81&lt;&gt;"",VLOOKUP(CONCATENATE($AT81,$AU81,$AV81,$F81),'SKU Dist'!$E$2:$X$200,'SKU Dist'!S$1,FALSE),""))</f>
        <v/>
      </c>
      <c r="Z81" s="389" t="str">
        <f>IF(IF($AT81&lt;&gt;"",VLOOKUP(CONCATENATE($AT81,$AU81,$AV81,$F81),'SKU Dist'!$E$2:$X$200,'SKU Dist'!T$1,FALSE),"")=0,"",IF($AT81&lt;&gt;"",VLOOKUP(CONCATENATE($AT81,$AU81,$AV81,$F81),'SKU Dist'!$E$2:$X$200,'SKU Dist'!T$1,FALSE),""))</f>
        <v/>
      </c>
      <c r="AA81" s="389" t="str">
        <f>IF(IF($AT81&lt;&gt;"",VLOOKUP(CONCATENATE($AT81,$AU81,$AV81,$F81),'SKU Dist'!$E$2:$X$200,'SKU Dist'!U$1,FALSE),"")=0,"",IF($AT81&lt;&gt;"",VLOOKUP(CONCATENATE($AT81,$AU81,$AV81,$F81),'SKU Dist'!$E$2:$X$200,'SKU Dist'!U$1,FALSE),""))</f>
        <v/>
      </c>
      <c r="AB81" s="389" t="str">
        <f>IF(IF($AT81&lt;&gt;"",VLOOKUP(CONCATENATE($AT81,$AU81,$AV81,$F81),'SKU Dist'!$E$2:$X$200,'SKU Dist'!V$1,FALSE),"")=0,"",IF($AT81&lt;&gt;"",VLOOKUP(CONCATENATE($AT81,$AU81,$AV81,$F81),'SKU Dist'!$E$2:$X$200,'SKU Dist'!V$1,FALSE),""))</f>
        <v/>
      </c>
      <c r="AC81" s="390"/>
      <c r="AD81" s="390"/>
      <c r="AE81" s="390"/>
      <c r="AF81" s="390"/>
      <c r="AG81" s="919">
        <f t="shared" ref="AG81:AG82" si="66">SUM(G81:AF81)</f>
        <v>0</v>
      </c>
      <c r="AH81" s="817">
        <v>125</v>
      </c>
      <c r="AI81" s="943">
        <f t="shared" ref="AI81:AI82" si="67">AG81*AH81</f>
        <v>0</v>
      </c>
      <c r="AJ81" s="926"/>
      <c r="AT81" s="222" t="str">
        <f t="shared" ref="AT81:AT82" si="68">IF(E81=E80,AT80,IF(B81="","",B81))</f>
        <v/>
      </c>
      <c r="AU81" s="206" t="s">
        <v>22</v>
      </c>
      <c r="AV81" s="206" t="s">
        <v>10</v>
      </c>
    </row>
    <row r="82" spans="1:48" ht="16.5" thickBot="1" x14ac:dyDescent="0.3">
      <c r="A82" s="838"/>
      <c r="B82" s="1032"/>
      <c r="C82" s="863" t="s">
        <v>257</v>
      </c>
      <c r="D82" s="875" t="s">
        <v>296</v>
      </c>
      <c r="E82" s="903">
        <v>3956</v>
      </c>
      <c r="F82" s="904" t="s">
        <v>68</v>
      </c>
      <c r="G82" s="880"/>
      <c r="H82" s="393"/>
      <c r="I82" s="393"/>
      <c r="J82" s="393"/>
      <c r="K82" s="393"/>
      <c r="L82" s="393"/>
      <c r="M82" s="393"/>
      <c r="N82" s="393"/>
      <c r="O82" s="393"/>
      <c r="P82" s="393"/>
      <c r="Q82" s="393"/>
      <c r="R82" s="741" t="str">
        <f>IF(IF($AT82&lt;&gt;"",VLOOKUP(CONCATENATE($AT82,$AU82,$AV82,$F82),'SKU Dist'!$E$2:$X$200,'SKU Dist'!L$1,FALSE),"")=0,"",IF($AT82&lt;&gt;"",VLOOKUP(CONCATENATE($AT82,$AU82,$AV82,$F82),'SKU Dist'!$E$2:$X$200,'SKU Dist'!L$1,FALSE),""))</f>
        <v/>
      </c>
      <c r="S82" s="741" t="str">
        <f>IF(IF($AT82&lt;&gt;"",VLOOKUP(CONCATENATE($AT82,$AU82,$AV82,$F82),'SKU Dist'!$E$2:$X$200,'SKU Dist'!M$1,FALSE),"")=0,"",IF($AT82&lt;&gt;"",VLOOKUP(CONCATENATE($AT82,$AU82,$AV82,$F82),'SKU Dist'!$E$2:$X$200,'SKU Dist'!M$1,FALSE),""))</f>
        <v/>
      </c>
      <c r="T82" s="741" t="str">
        <f>IF(IF($AT82&lt;&gt;"",VLOOKUP(CONCATENATE($AT82,$AU82,$AV82,$F82),'SKU Dist'!$E$2:$X$200,'SKU Dist'!N$1,FALSE),"")=0,"",IF($AT82&lt;&gt;"",VLOOKUP(CONCATENATE($AT82,$AU82,$AV82,$F82),'SKU Dist'!$E$2:$X$200,'SKU Dist'!N$1,FALSE),""))</f>
        <v/>
      </c>
      <c r="U82" s="741" t="str">
        <f>IF(IF($AT82&lt;&gt;"",VLOOKUP(CONCATENATE($AT82,$AU82,$AV82,$F82),'SKU Dist'!$E$2:$X$200,'SKU Dist'!O$1,FALSE),"")=0,"",IF($AT82&lt;&gt;"",VLOOKUP(CONCATENATE($AT82,$AU82,$AV82,$F82),'SKU Dist'!$E$2:$X$200,'SKU Dist'!O$1,FALSE),""))</f>
        <v/>
      </c>
      <c r="V82" s="741" t="str">
        <f>IF(IF($AT82&lt;&gt;"",VLOOKUP(CONCATENATE($AT82,$AU82,$AV82,$F82),'SKU Dist'!$E$2:$X$200,'SKU Dist'!P$1,FALSE),"")=0,"",IF($AT82&lt;&gt;"",VLOOKUP(CONCATENATE($AT82,$AU82,$AV82,$F82),'SKU Dist'!$E$2:$X$200,'SKU Dist'!P$1,FALSE),""))</f>
        <v/>
      </c>
      <c r="W82" s="741" t="str">
        <f>IF(IF($AT82&lt;&gt;"",VLOOKUP(CONCATENATE($AT82,$AU82,$AV82,$F82),'SKU Dist'!$E$2:$X$200,'SKU Dist'!Q$1,FALSE),"")=0,"",IF($AT82&lt;&gt;"",VLOOKUP(CONCATENATE($AT82,$AU82,$AV82,$F82),'SKU Dist'!$E$2:$X$200,'SKU Dist'!Q$1,FALSE),""))</f>
        <v/>
      </c>
      <c r="X82" s="741" t="str">
        <f>IF(IF($AT82&lt;&gt;"",VLOOKUP(CONCATENATE($AT82,$AU82,$AV82,$F82),'SKU Dist'!$E$2:$X$200,'SKU Dist'!R$1,FALSE),"")=0,"",IF($AT82&lt;&gt;"",VLOOKUP(CONCATENATE($AT82,$AU82,$AV82,$F82),'SKU Dist'!$E$2:$X$200,'SKU Dist'!R$1,FALSE),""))</f>
        <v/>
      </c>
      <c r="Y82" s="741" t="str">
        <f>IF(IF($AT82&lt;&gt;"",VLOOKUP(CONCATENATE($AT82,$AU82,$AV82,$F82),'SKU Dist'!$E$2:$X$200,'SKU Dist'!S$1,FALSE),"")=0,"",IF($AT82&lt;&gt;"",VLOOKUP(CONCATENATE($AT82,$AU82,$AV82,$F82),'SKU Dist'!$E$2:$X$200,'SKU Dist'!S$1,FALSE),""))</f>
        <v/>
      </c>
      <c r="Z82" s="741" t="str">
        <f>IF(IF($AT82&lt;&gt;"",VLOOKUP(CONCATENATE($AT82,$AU82,$AV82,$F82),'SKU Dist'!$E$2:$X$200,'SKU Dist'!T$1,FALSE),"")=0,"",IF($AT82&lt;&gt;"",VLOOKUP(CONCATENATE($AT82,$AU82,$AV82,$F82),'SKU Dist'!$E$2:$X$200,'SKU Dist'!T$1,FALSE),""))</f>
        <v/>
      </c>
      <c r="AA82" s="741" t="str">
        <f>IF(IF($AT82&lt;&gt;"",VLOOKUP(CONCATENATE($AT82,$AU82,$AV82,$F82),'SKU Dist'!$E$2:$X$200,'SKU Dist'!U$1,FALSE),"")=0,"",IF($AT82&lt;&gt;"",VLOOKUP(CONCATENATE($AT82,$AU82,$AV82,$F82),'SKU Dist'!$E$2:$X$200,'SKU Dist'!U$1,FALSE),""))</f>
        <v/>
      </c>
      <c r="AB82" s="741" t="str">
        <f>IF(IF($AT82&lt;&gt;"",VLOOKUP(CONCATENATE($AT82,$AU82,$AV82,$F82),'SKU Dist'!$E$2:$X$200,'SKU Dist'!V$1,FALSE),"")=0,"",IF($AT82&lt;&gt;"",VLOOKUP(CONCATENATE($AT82,$AU82,$AV82,$F82),'SKU Dist'!$E$2:$X$200,'SKU Dist'!V$1,FALSE),""))</f>
        <v/>
      </c>
      <c r="AC82" s="391"/>
      <c r="AD82" s="391"/>
      <c r="AE82" s="391"/>
      <c r="AF82" s="391"/>
      <c r="AG82" s="920">
        <f t="shared" si="66"/>
        <v>0</v>
      </c>
      <c r="AH82" s="818">
        <v>125</v>
      </c>
      <c r="AI82" s="950">
        <f t="shared" si="67"/>
        <v>0</v>
      </c>
      <c r="AJ82" s="936"/>
      <c r="AT82" s="222" t="str">
        <f t="shared" si="68"/>
        <v/>
      </c>
      <c r="AU82" s="206" t="s">
        <v>22</v>
      </c>
      <c r="AV82" s="206" t="s">
        <v>10</v>
      </c>
    </row>
    <row r="83" spans="1:48" ht="15.75" x14ac:dyDescent="0.25">
      <c r="A83" s="629" t="s">
        <v>71</v>
      </c>
      <c r="B83" s="1035"/>
      <c r="C83" s="864" t="s">
        <v>255</v>
      </c>
      <c r="D83" s="876" t="s">
        <v>296</v>
      </c>
      <c r="E83" s="916">
        <v>3967</v>
      </c>
      <c r="F83" s="906" t="s">
        <v>35</v>
      </c>
      <c r="G83" s="881"/>
      <c r="H83" s="848"/>
      <c r="I83" s="848"/>
      <c r="J83" s="848"/>
      <c r="K83" s="848"/>
      <c r="L83" s="848"/>
      <c r="M83" s="848"/>
      <c r="N83" s="848"/>
      <c r="O83" s="848"/>
      <c r="P83" s="848"/>
      <c r="Q83" s="848"/>
      <c r="R83" s="646" t="str">
        <f>IF(IF($AT83&lt;&gt;"",VLOOKUP(CONCATENATE($AT83,$AU83,$AV83,$F83),'SKU Dist'!$E$2:$X$200,'SKU Dist'!L$1,FALSE),"")=0,"",IF($AT83&lt;&gt;"",VLOOKUP(CONCATENATE($AT83,$AU83,$AV83,$F83),'SKU Dist'!$E$2:$X$200,'SKU Dist'!L$1,FALSE),""))</f>
        <v/>
      </c>
      <c r="S83" s="646" t="str">
        <f>IF(IF($AT83&lt;&gt;"",VLOOKUP(CONCATENATE($AT83,$AU83,$AV83,$F83),'SKU Dist'!$E$2:$X$200,'SKU Dist'!M$1,FALSE),"")=0,"",IF($AT83&lt;&gt;"",VLOOKUP(CONCATENATE($AT83,$AU83,$AV83,$F83),'SKU Dist'!$E$2:$X$200,'SKU Dist'!M$1,FALSE),""))</f>
        <v/>
      </c>
      <c r="T83" s="646" t="str">
        <f>IF(IF($AT83&lt;&gt;"",VLOOKUP(CONCATENATE($AT83,$AU83,$AV83,$F83),'SKU Dist'!$E$2:$X$200,'SKU Dist'!N$1,FALSE),"")=0,"",IF($AT83&lt;&gt;"",VLOOKUP(CONCATENATE($AT83,$AU83,$AV83,$F83),'SKU Dist'!$E$2:$X$200,'SKU Dist'!N$1,FALSE),""))</f>
        <v/>
      </c>
      <c r="U83" s="646" t="str">
        <f>IF(IF($AT83&lt;&gt;"",VLOOKUP(CONCATENATE($AT83,$AU83,$AV83,$F83),'SKU Dist'!$E$2:$X$200,'SKU Dist'!O$1,FALSE),"")=0,"",IF($AT83&lt;&gt;"",VLOOKUP(CONCATENATE($AT83,$AU83,$AV83,$F83),'SKU Dist'!$E$2:$X$200,'SKU Dist'!O$1,FALSE),""))</f>
        <v/>
      </c>
      <c r="V83" s="646" t="str">
        <f>IF(IF($AT83&lt;&gt;"",VLOOKUP(CONCATENATE($AT83,$AU83,$AV83,$F83),'SKU Dist'!$E$2:$X$200,'SKU Dist'!P$1,FALSE),"")=0,"",IF($AT83&lt;&gt;"",VLOOKUP(CONCATENATE($AT83,$AU83,$AV83,$F83),'SKU Dist'!$E$2:$X$200,'SKU Dist'!P$1,FALSE),""))</f>
        <v/>
      </c>
      <c r="W83" s="646" t="str">
        <f>IF(IF($AT83&lt;&gt;"",VLOOKUP(CONCATENATE($AT83,$AU83,$AV83,$F83),'SKU Dist'!$E$2:$X$200,'SKU Dist'!Q$1,FALSE),"")=0,"",IF($AT83&lt;&gt;"",VLOOKUP(CONCATENATE($AT83,$AU83,$AV83,$F83),'SKU Dist'!$E$2:$X$200,'SKU Dist'!Q$1,FALSE),""))</f>
        <v/>
      </c>
      <c r="X83" s="646" t="str">
        <f>IF(IF($AT83&lt;&gt;"",VLOOKUP(CONCATENATE($AT83,$AU83,$AV83,$F83),'SKU Dist'!$E$2:$X$200,'SKU Dist'!R$1,FALSE),"")=0,"",IF($AT83&lt;&gt;"",VLOOKUP(CONCATENATE($AT83,$AU83,$AV83,$F83),'SKU Dist'!$E$2:$X$200,'SKU Dist'!R$1,FALSE),""))</f>
        <v/>
      </c>
      <c r="Y83" s="646" t="str">
        <f>IF(IF($AT83&lt;&gt;"",VLOOKUP(CONCATENATE($AT83,$AU83,$AV83,$F83),'SKU Dist'!$E$2:$X$200,'SKU Dist'!S$1,FALSE),"")=0,"",IF($AT83&lt;&gt;"",VLOOKUP(CONCATENATE($AT83,$AU83,$AV83,$F83),'SKU Dist'!$E$2:$X$200,'SKU Dist'!S$1,FALSE),""))</f>
        <v/>
      </c>
      <c r="Z83" s="646" t="str">
        <f>IF(IF($AT83&lt;&gt;"",VLOOKUP(CONCATENATE($AT83,$AU83,$AV83,$F83),'SKU Dist'!$E$2:$X$200,'SKU Dist'!T$1,FALSE),"")=0,"",IF($AT83&lt;&gt;"",VLOOKUP(CONCATENATE($AT83,$AU83,$AV83,$F83),'SKU Dist'!$E$2:$X$200,'SKU Dist'!T$1,FALSE),""))</f>
        <v/>
      </c>
      <c r="AA83" s="646" t="str">
        <f>IF(IF($AT83&lt;&gt;"",VLOOKUP(CONCATENATE($AT83,$AU83,$AV83,$F83),'SKU Dist'!$E$2:$X$200,'SKU Dist'!U$1,FALSE),"")=0,"",IF($AT83&lt;&gt;"",VLOOKUP(CONCATENATE($AT83,$AU83,$AV83,$F83),'SKU Dist'!$E$2:$X$200,'SKU Dist'!U$1,FALSE),""))</f>
        <v/>
      </c>
      <c r="AB83" s="646" t="str">
        <f>IF(IF($AT83&lt;&gt;"",VLOOKUP(CONCATENATE($AT83,$AU83,$AV83,$F83),'SKU Dist'!$E$2:$X$200,'SKU Dist'!V$1,FALSE),"")=0,"",IF($AT83&lt;&gt;"",VLOOKUP(CONCATENATE($AT83,$AU83,$AV83,$F83),'SKU Dist'!$E$2:$X$200,'SKU Dist'!V$1,FALSE),""))</f>
        <v/>
      </c>
      <c r="AC83" s="848"/>
      <c r="AD83" s="848"/>
      <c r="AE83" s="848"/>
      <c r="AF83" s="849"/>
      <c r="AG83" s="807">
        <f t="shared" ref="AG83" si="69">SUM(G83:AF83)</f>
        <v>0</v>
      </c>
      <c r="AH83" s="819">
        <v>117.5</v>
      </c>
      <c r="AI83" s="951">
        <f t="shared" si="62"/>
        <v>0</v>
      </c>
      <c r="AJ83" s="939"/>
      <c r="AT83" s="222" t="str">
        <f>IF(E83=E80,AT80,IF(B83="","",B83))</f>
        <v/>
      </c>
      <c r="AU83" s="206" t="s">
        <v>22</v>
      </c>
      <c r="AV83" s="206" t="s">
        <v>10</v>
      </c>
    </row>
    <row r="84" spans="1:48" ht="16.5" thickBot="1" x14ac:dyDescent="0.3">
      <c r="A84" s="631" t="s">
        <v>275</v>
      </c>
      <c r="B84" s="1029"/>
      <c r="C84" s="861" t="s">
        <v>255</v>
      </c>
      <c r="D84" s="873" t="s">
        <v>296</v>
      </c>
      <c r="E84" s="890">
        <v>3967</v>
      </c>
      <c r="F84" s="898" t="s">
        <v>68</v>
      </c>
      <c r="G84" s="882"/>
      <c r="H84" s="436"/>
      <c r="I84" s="436"/>
      <c r="J84" s="436"/>
      <c r="K84" s="436"/>
      <c r="L84" s="436"/>
      <c r="M84" s="436"/>
      <c r="N84" s="436"/>
      <c r="O84" s="436"/>
      <c r="P84" s="436"/>
      <c r="Q84" s="436"/>
      <c r="R84" s="635" t="str">
        <f>IF(IF($AT84&lt;&gt;"",VLOOKUP(CONCATENATE($AT84,$AU84,$AV84,$F84),'SKU Dist'!$E$2:$X$200,'SKU Dist'!L$1,FALSE),"")=0,"",IF($AT84&lt;&gt;"",VLOOKUP(CONCATENATE($AT84,$AU84,$AV84,$F84),'SKU Dist'!$E$2:$X$200,'SKU Dist'!L$1,FALSE),""))</f>
        <v/>
      </c>
      <c r="S84" s="635" t="str">
        <f>IF(IF($AT84&lt;&gt;"",VLOOKUP(CONCATENATE($AT84,$AU84,$AV84,$F84),'SKU Dist'!$E$2:$X$200,'SKU Dist'!M$1,FALSE),"")=0,"",IF($AT84&lt;&gt;"",VLOOKUP(CONCATENATE($AT84,$AU84,$AV84,$F84),'SKU Dist'!$E$2:$X$200,'SKU Dist'!M$1,FALSE),""))</f>
        <v/>
      </c>
      <c r="T84" s="635" t="str">
        <f>IF(IF($AT84&lt;&gt;"",VLOOKUP(CONCATENATE($AT84,$AU84,$AV84,$F84),'SKU Dist'!$E$2:$X$200,'SKU Dist'!N$1,FALSE),"")=0,"",IF($AT84&lt;&gt;"",VLOOKUP(CONCATENATE($AT84,$AU84,$AV84,$F84),'SKU Dist'!$E$2:$X$200,'SKU Dist'!N$1,FALSE),""))</f>
        <v/>
      </c>
      <c r="U84" s="635" t="str">
        <f>IF(IF($AT84&lt;&gt;"",VLOOKUP(CONCATENATE($AT84,$AU84,$AV84,$F84),'SKU Dist'!$E$2:$X$200,'SKU Dist'!O$1,FALSE),"")=0,"",IF($AT84&lt;&gt;"",VLOOKUP(CONCATENATE($AT84,$AU84,$AV84,$F84),'SKU Dist'!$E$2:$X$200,'SKU Dist'!O$1,FALSE),""))</f>
        <v/>
      </c>
      <c r="V84" s="635" t="str">
        <f>IF(IF($AT84&lt;&gt;"",VLOOKUP(CONCATENATE($AT84,$AU84,$AV84,$F84),'SKU Dist'!$E$2:$X$200,'SKU Dist'!P$1,FALSE),"")=0,"",IF($AT84&lt;&gt;"",VLOOKUP(CONCATENATE($AT84,$AU84,$AV84,$F84),'SKU Dist'!$E$2:$X$200,'SKU Dist'!P$1,FALSE),""))</f>
        <v/>
      </c>
      <c r="W84" s="635" t="str">
        <f>IF(IF($AT84&lt;&gt;"",VLOOKUP(CONCATENATE($AT84,$AU84,$AV84,$F84),'SKU Dist'!$E$2:$X$200,'SKU Dist'!Q$1,FALSE),"")=0,"",IF($AT84&lt;&gt;"",VLOOKUP(CONCATENATE($AT84,$AU84,$AV84,$F84),'SKU Dist'!$E$2:$X$200,'SKU Dist'!Q$1,FALSE),""))</f>
        <v/>
      </c>
      <c r="X84" s="635" t="str">
        <f>IF(IF($AT84&lt;&gt;"",VLOOKUP(CONCATENATE($AT84,$AU84,$AV84,$F84),'SKU Dist'!$E$2:$X$200,'SKU Dist'!R$1,FALSE),"")=0,"",IF($AT84&lt;&gt;"",VLOOKUP(CONCATENATE($AT84,$AU84,$AV84,$F84),'SKU Dist'!$E$2:$X$200,'SKU Dist'!R$1,FALSE),""))</f>
        <v/>
      </c>
      <c r="Y84" s="635" t="str">
        <f>IF(IF($AT84&lt;&gt;"",VLOOKUP(CONCATENATE($AT84,$AU84,$AV84,$F84),'SKU Dist'!$E$2:$X$200,'SKU Dist'!S$1,FALSE),"")=0,"",IF($AT84&lt;&gt;"",VLOOKUP(CONCATENATE($AT84,$AU84,$AV84,$F84),'SKU Dist'!$E$2:$X$200,'SKU Dist'!S$1,FALSE),""))</f>
        <v/>
      </c>
      <c r="Z84" s="635" t="str">
        <f>IF(IF($AT84&lt;&gt;"",VLOOKUP(CONCATENATE($AT84,$AU84,$AV84,$F84),'SKU Dist'!$E$2:$X$200,'SKU Dist'!T$1,FALSE),"")=0,"",IF($AT84&lt;&gt;"",VLOOKUP(CONCATENATE($AT84,$AU84,$AV84,$F84),'SKU Dist'!$E$2:$X$200,'SKU Dist'!T$1,FALSE),""))</f>
        <v/>
      </c>
      <c r="AA84" s="635" t="str">
        <f>IF(IF($AT84&lt;&gt;"",VLOOKUP(CONCATENATE($AT84,$AU84,$AV84,$F84),'SKU Dist'!$E$2:$X$200,'SKU Dist'!U$1,FALSE),"")=0,"",IF($AT84&lt;&gt;"",VLOOKUP(CONCATENATE($AT84,$AU84,$AV84,$F84),'SKU Dist'!$E$2:$X$200,'SKU Dist'!U$1,FALSE),""))</f>
        <v/>
      </c>
      <c r="AB84" s="635" t="str">
        <f>IF(IF($AT84&lt;&gt;"",VLOOKUP(CONCATENATE($AT84,$AU84,$AV84,$F84),'SKU Dist'!$E$2:$X$200,'SKU Dist'!V$1,FALSE),"")=0,"",IF($AT84&lt;&gt;"",VLOOKUP(CONCATENATE($AT84,$AU84,$AV84,$F84),'SKU Dist'!$E$2:$X$200,'SKU Dist'!V$1,FALSE),""))</f>
        <v/>
      </c>
      <c r="AC84" s="436"/>
      <c r="AD84" s="436"/>
      <c r="AE84" s="436"/>
      <c r="AF84" s="792"/>
      <c r="AG84" s="805">
        <f t="shared" ref="AG84" si="70">SUM(G84:AF84)</f>
        <v>0</v>
      </c>
      <c r="AH84" s="835">
        <v>117.5</v>
      </c>
      <c r="AI84" s="948">
        <f t="shared" si="62"/>
        <v>0</v>
      </c>
      <c r="AJ84" s="935"/>
      <c r="AT84" s="222" t="str">
        <f t="shared" si="1"/>
        <v/>
      </c>
      <c r="AU84" s="206" t="s">
        <v>22</v>
      </c>
      <c r="AV84" s="206" t="s">
        <v>10</v>
      </c>
    </row>
    <row r="85" spans="1:48" ht="15.75" x14ac:dyDescent="0.25">
      <c r="A85" s="382">
        <f>SUM(AG83:AG86)</f>
        <v>0</v>
      </c>
      <c r="B85" s="1112"/>
      <c r="C85" s="857" t="s">
        <v>255</v>
      </c>
      <c r="D85" s="868" t="s">
        <v>296</v>
      </c>
      <c r="E85" s="888">
        <v>3968</v>
      </c>
      <c r="F85" s="899" t="s">
        <v>35</v>
      </c>
      <c r="G85" s="882"/>
      <c r="H85" s="436"/>
      <c r="I85" s="436"/>
      <c r="J85" s="436"/>
      <c r="K85" s="436"/>
      <c r="L85" s="436"/>
      <c r="M85" s="436"/>
      <c r="N85" s="436"/>
      <c r="O85" s="436"/>
      <c r="P85" s="436"/>
      <c r="Q85" s="436"/>
      <c r="R85" s="389" t="str">
        <f>IF(IF($AT85&lt;&gt;"",VLOOKUP(CONCATENATE($AT85,$AU85,$AV85,$F85),'SKU Dist'!$E$2:$X$200,'SKU Dist'!L$1,FALSE),"")=0,"",IF($AT85&lt;&gt;"",VLOOKUP(CONCATENATE($AT85,$AU85,$AV85,$F85),'SKU Dist'!$E$2:$X$200,'SKU Dist'!L$1,FALSE),""))</f>
        <v/>
      </c>
      <c r="S85" s="389" t="str">
        <f>IF(IF($AT85&lt;&gt;"",VLOOKUP(CONCATENATE($AT85,$AU85,$AV85,$F85),'SKU Dist'!$E$2:$X$200,'SKU Dist'!M$1,FALSE),"")=0,"",IF($AT85&lt;&gt;"",VLOOKUP(CONCATENATE($AT85,$AU85,$AV85,$F85),'SKU Dist'!$E$2:$X$200,'SKU Dist'!M$1,FALSE),""))</f>
        <v/>
      </c>
      <c r="T85" s="389" t="str">
        <f>IF(IF($AT85&lt;&gt;"",VLOOKUP(CONCATENATE($AT85,$AU85,$AV85,$F85),'SKU Dist'!$E$2:$X$200,'SKU Dist'!N$1,FALSE),"")=0,"",IF($AT85&lt;&gt;"",VLOOKUP(CONCATENATE($AT85,$AU85,$AV85,$F85),'SKU Dist'!$E$2:$X$200,'SKU Dist'!N$1,FALSE),""))</f>
        <v/>
      </c>
      <c r="U85" s="389" t="str">
        <f>IF(IF($AT85&lt;&gt;"",VLOOKUP(CONCATENATE($AT85,$AU85,$AV85,$F85),'SKU Dist'!$E$2:$X$200,'SKU Dist'!O$1,FALSE),"")=0,"",IF($AT85&lt;&gt;"",VLOOKUP(CONCATENATE($AT85,$AU85,$AV85,$F85),'SKU Dist'!$E$2:$X$200,'SKU Dist'!O$1,FALSE),""))</f>
        <v/>
      </c>
      <c r="V85" s="389" t="str">
        <f>IF(IF($AT85&lt;&gt;"",VLOOKUP(CONCATENATE($AT85,$AU85,$AV85,$F85),'SKU Dist'!$E$2:$X$200,'SKU Dist'!P$1,FALSE),"")=0,"",IF($AT85&lt;&gt;"",VLOOKUP(CONCATENATE($AT85,$AU85,$AV85,$F85),'SKU Dist'!$E$2:$X$200,'SKU Dist'!P$1,FALSE),""))</f>
        <v/>
      </c>
      <c r="W85" s="389" t="str">
        <f>IF(IF($AT85&lt;&gt;"",VLOOKUP(CONCATENATE($AT85,$AU85,$AV85,$F85),'SKU Dist'!$E$2:$X$200,'SKU Dist'!Q$1,FALSE),"")=0,"",IF($AT85&lt;&gt;"",VLOOKUP(CONCATENATE($AT85,$AU85,$AV85,$F85),'SKU Dist'!$E$2:$X$200,'SKU Dist'!Q$1,FALSE),""))</f>
        <v/>
      </c>
      <c r="X85" s="389" t="str">
        <f>IF(IF($AT85&lt;&gt;"",VLOOKUP(CONCATENATE($AT85,$AU85,$AV85,$F85),'SKU Dist'!$E$2:$X$200,'SKU Dist'!R$1,FALSE),"")=0,"",IF($AT85&lt;&gt;"",VLOOKUP(CONCATENATE($AT85,$AU85,$AV85,$F85),'SKU Dist'!$E$2:$X$200,'SKU Dist'!R$1,FALSE),""))</f>
        <v/>
      </c>
      <c r="Y85" s="389" t="str">
        <f>IF(IF($AT85&lt;&gt;"",VLOOKUP(CONCATENATE($AT85,$AU85,$AV85,$F85),'SKU Dist'!$E$2:$X$200,'SKU Dist'!S$1,FALSE),"")=0,"",IF($AT85&lt;&gt;"",VLOOKUP(CONCATENATE($AT85,$AU85,$AV85,$F85),'SKU Dist'!$E$2:$X$200,'SKU Dist'!S$1,FALSE),""))</f>
        <v/>
      </c>
      <c r="Z85" s="389" t="str">
        <f>IF(IF($AT85&lt;&gt;"",VLOOKUP(CONCATENATE($AT85,$AU85,$AV85,$F85),'SKU Dist'!$E$2:$X$200,'SKU Dist'!T$1,FALSE),"")=0,"",IF($AT85&lt;&gt;"",VLOOKUP(CONCATENATE($AT85,$AU85,$AV85,$F85),'SKU Dist'!$E$2:$X$200,'SKU Dist'!T$1,FALSE),""))</f>
        <v/>
      </c>
      <c r="AA85" s="389" t="str">
        <f>IF(IF($AT85&lt;&gt;"",VLOOKUP(CONCATENATE($AT85,$AU85,$AV85,$F85),'SKU Dist'!$E$2:$X$200,'SKU Dist'!U$1,FALSE),"")=0,"",IF($AT85&lt;&gt;"",VLOOKUP(CONCATENATE($AT85,$AU85,$AV85,$F85),'SKU Dist'!$E$2:$X$200,'SKU Dist'!U$1,FALSE),""))</f>
        <v/>
      </c>
      <c r="AB85" s="389" t="str">
        <f>IF(IF($AT85&lt;&gt;"",VLOOKUP(CONCATENATE($AT85,$AU85,$AV85,$F85),'SKU Dist'!$E$2:$X$200,'SKU Dist'!V$1,FALSE),"")=0,"",IF($AT85&lt;&gt;"",VLOOKUP(CONCATENATE($AT85,$AU85,$AV85,$F85),'SKU Dist'!$E$2:$X$200,'SKU Dist'!V$1,FALSE),""))</f>
        <v/>
      </c>
      <c r="AC85" s="436"/>
      <c r="AD85" s="436"/>
      <c r="AE85" s="436"/>
      <c r="AF85" s="792"/>
      <c r="AG85" s="804">
        <f t="shared" ref="AG85" si="71">SUM(G85:AF85)</f>
        <v>0</v>
      </c>
      <c r="AH85" s="816">
        <v>117.5</v>
      </c>
      <c r="AI85" s="943">
        <f t="shared" si="62"/>
        <v>0</v>
      </c>
      <c r="AJ85" s="932"/>
      <c r="AT85" s="222" t="str">
        <f t="shared" si="1"/>
        <v/>
      </c>
      <c r="AU85" s="206" t="s">
        <v>22</v>
      </c>
      <c r="AV85" s="206" t="s">
        <v>10</v>
      </c>
    </row>
    <row r="86" spans="1:48" ht="16.5" thickBot="1" x14ac:dyDescent="0.3">
      <c r="A86" s="794">
        <f>SUM(AI83:AI86)</f>
        <v>0</v>
      </c>
      <c r="B86" s="1032"/>
      <c r="C86" s="863" t="s">
        <v>255</v>
      </c>
      <c r="D86" s="875" t="s">
        <v>296</v>
      </c>
      <c r="E86" s="903">
        <v>3968</v>
      </c>
      <c r="F86" s="904" t="s">
        <v>68</v>
      </c>
      <c r="G86" s="883"/>
      <c r="H86" s="740"/>
      <c r="I86" s="740"/>
      <c r="J86" s="740"/>
      <c r="K86" s="740"/>
      <c r="L86" s="740"/>
      <c r="M86" s="740"/>
      <c r="N86" s="740"/>
      <c r="O86" s="740"/>
      <c r="P86" s="740"/>
      <c r="Q86" s="740"/>
      <c r="R86" s="741" t="str">
        <f>IF(IF($AT86&lt;&gt;"",VLOOKUP(CONCATENATE($AT86,$AU86,$AV86,$F86),'SKU Dist'!$E$2:$X$200,'SKU Dist'!L$1,FALSE),"")=0,"",IF($AT86&lt;&gt;"",VLOOKUP(CONCATENATE($AT86,$AU86,$AV86,$F86),'SKU Dist'!$E$2:$X$200,'SKU Dist'!L$1,FALSE),""))</f>
        <v/>
      </c>
      <c r="S86" s="741" t="str">
        <f>IF(IF($AT86&lt;&gt;"",VLOOKUP(CONCATENATE($AT86,$AU86,$AV86,$F86),'SKU Dist'!$E$2:$X$200,'SKU Dist'!M$1,FALSE),"")=0,"",IF($AT86&lt;&gt;"",VLOOKUP(CONCATENATE($AT86,$AU86,$AV86,$F86),'SKU Dist'!$E$2:$X$200,'SKU Dist'!M$1,FALSE),""))</f>
        <v/>
      </c>
      <c r="T86" s="741" t="str">
        <f>IF(IF($AT86&lt;&gt;"",VLOOKUP(CONCATENATE($AT86,$AU86,$AV86,$F86),'SKU Dist'!$E$2:$X$200,'SKU Dist'!N$1,FALSE),"")=0,"",IF($AT86&lt;&gt;"",VLOOKUP(CONCATENATE($AT86,$AU86,$AV86,$F86),'SKU Dist'!$E$2:$X$200,'SKU Dist'!N$1,FALSE),""))</f>
        <v/>
      </c>
      <c r="U86" s="741" t="str">
        <f>IF(IF($AT86&lt;&gt;"",VLOOKUP(CONCATENATE($AT86,$AU86,$AV86,$F86),'SKU Dist'!$E$2:$X$200,'SKU Dist'!O$1,FALSE),"")=0,"",IF($AT86&lt;&gt;"",VLOOKUP(CONCATENATE($AT86,$AU86,$AV86,$F86),'SKU Dist'!$E$2:$X$200,'SKU Dist'!O$1,FALSE),""))</f>
        <v/>
      </c>
      <c r="V86" s="741" t="str">
        <f>IF(IF($AT86&lt;&gt;"",VLOOKUP(CONCATENATE($AT86,$AU86,$AV86,$F86),'SKU Dist'!$E$2:$X$200,'SKU Dist'!P$1,FALSE),"")=0,"",IF($AT86&lt;&gt;"",VLOOKUP(CONCATENATE($AT86,$AU86,$AV86,$F86),'SKU Dist'!$E$2:$X$200,'SKU Dist'!P$1,FALSE),""))</f>
        <v/>
      </c>
      <c r="W86" s="741" t="str">
        <f>IF(IF($AT86&lt;&gt;"",VLOOKUP(CONCATENATE($AT86,$AU86,$AV86,$F86),'SKU Dist'!$E$2:$X$200,'SKU Dist'!Q$1,FALSE),"")=0,"",IF($AT86&lt;&gt;"",VLOOKUP(CONCATENATE($AT86,$AU86,$AV86,$F86),'SKU Dist'!$E$2:$X$200,'SKU Dist'!Q$1,FALSE),""))</f>
        <v/>
      </c>
      <c r="X86" s="741" t="str">
        <f>IF(IF($AT86&lt;&gt;"",VLOOKUP(CONCATENATE($AT86,$AU86,$AV86,$F86),'SKU Dist'!$E$2:$X$200,'SKU Dist'!R$1,FALSE),"")=0,"",IF($AT86&lt;&gt;"",VLOOKUP(CONCATENATE($AT86,$AU86,$AV86,$F86),'SKU Dist'!$E$2:$X$200,'SKU Dist'!R$1,FALSE),""))</f>
        <v/>
      </c>
      <c r="Y86" s="741" t="str">
        <f>IF(IF($AT86&lt;&gt;"",VLOOKUP(CONCATENATE($AT86,$AU86,$AV86,$F86),'SKU Dist'!$E$2:$X$200,'SKU Dist'!S$1,FALSE),"")=0,"",IF($AT86&lt;&gt;"",VLOOKUP(CONCATENATE($AT86,$AU86,$AV86,$F86),'SKU Dist'!$E$2:$X$200,'SKU Dist'!S$1,FALSE),""))</f>
        <v/>
      </c>
      <c r="Z86" s="741" t="str">
        <f>IF(IF($AT86&lt;&gt;"",VLOOKUP(CONCATENATE($AT86,$AU86,$AV86,$F86),'SKU Dist'!$E$2:$X$200,'SKU Dist'!T$1,FALSE),"")=0,"",IF($AT86&lt;&gt;"",VLOOKUP(CONCATENATE($AT86,$AU86,$AV86,$F86),'SKU Dist'!$E$2:$X$200,'SKU Dist'!T$1,FALSE),""))</f>
        <v/>
      </c>
      <c r="AA86" s="741" t="str">
        <f>IF(IF($AT86&lt;&gt;"",VLOOKUP(CONCATENATE($AT86,$AU86,$AV86,$F86),'SKU Dist'!$E$2:$X$200,'SKU Dist'!U$1,FALSE),"")=0,"",IF($AT86&lt;&gt;"",VLOOKUP(CONCATENATE($AT86,$AU86,$AV86,$F86),'SKU Dist'!$E$2:$X$200,'SKU Dist'!U$1,FALSE),""))</f>
        <v/>
      </c>
      <c r="AB86" s="741" t="str">
        <f>IF(IF($AT86&lt;&gt;"",VLOOKUP(CONCATENATE($AT86,$AU86,$AV86,$F86),'SKU Dist'!$E$2:$X$200,'SKU Dist'!V$1,FALSE),"")=0,"",IF($AT86&lt;&gt;"",VLOOKUP(CONCATENATE($AT86,$AU86,$AV86,$F86),'SKU Dist'!$E$2:$X$200,'SKU Dist'!V$1,FALSE),""))</f>
        <v/>
      </c>
      <c r="AC86" s="740"/>
      <c r="AD86" s="740"/>
      <c r="AE86" s="740"/>
      <c r="AF86" s="793"/>
      <c r="AG86" s="806">
        <f t="shared" ref="AG86" si="72">SUM(G86:AF86)</f>
        <v>0</v>
      </c>
      <c r="AH86" s="836">
        <v>117.5</v>
      </c>
      <c r="AI86" s="950">
        <f t="shared" si="62"/>
        <v>0</v>
      </c>
      <c r="AJ86" s="936"/>
      <c r="AT86" s="222" t="str">
        <f t="shared" si="1"/>
        <v/>
      </c>
      <c r="AU86" s="206" t="s">
        <v>22</v>
      </c>
      <c r="AV86" s="206" t="s">
        <v>10</v>
      </c>
    </row>
    <row r="87" spans="1:48" ht="15.75" x14ac:dyDescent="0.25">
      <c r="A87" s="629" t="s">
        <v>71</v>
      </c>
      <c r="B87" s="1030"/>
      <c r="C87" s="860" t="s">
        <v>255</v>
      </c>
      <c r="D87" s="873" t="s">
        <v>296</v>
      </c>
      <c r="E87" s="894">
        <v>84600</v>
      </c>
      <c r="F87" s="895" t="s">
        <v>35</v>
      </c>
      <c r="G87" s="640"/>
      <c r="H87" s="431"/>
      <c r="I87" s="431"/>
      <c r="J87" s="637"/>
      <c r="K87" s="637"/>
      <c r="L87" s="637" t="str">
        <f>IF(IF($AT87&lt;&gt;"",VLOOKUP(CONCATENATE($AT87,$AU87,$AV87,$F87),'SKU Dist'!$E$2:$X$200,'SKU Dist'!F$1,FALSE),"")=0,"",IF($AT87&lt;&gt;"",VLOOKUP(CONCATENATE($AT87,$AU87,$AV87,$F87),'SKU Dist'!$E$2:$X$200,'SKU Dist'!F$1,FALSE),""))</f>
        <v/>
      </c>
      <c r="M87" s="637" t="str">
        <f>IF(IF($AT87&lt;&gt;"",VLOOKUP(CONCATENATE($AT87,$AU87,$AV87,$F87),'SKU Dist'!$E$2:$X$200,'SKU Dist'!G$1,FALSE),"")=0,"",IF($AT87&lt;&gt;"",VLOOKUP(CONCATENATE($AT87,$AU87,$AV87,$F87),'SKU Dist'!$E$2:$X$200,'SKU Dist'!G$1,FALSE),""))</f>
        <v/>
      </c>
      <c r="N87" s="637" t="str">
        <f>IF(IF($AT87&lt;&gt;"",VLOOKUP(CONCATENATE($AT87,$AU87,$AV87,$F87),'SKU Dist'!$E$2:$X$200,'SKU Dist'!H$1,FALSE),"")=0,"",IF($AT87&lt;&gt;"",VLOOKUP(CONCATENATE($AT87,$AU87,$AV87,$F87),'SKU Dist'!$E$2:$X$200,'SKU Dist'!H$1,FALSE),""))</f>
        <v/>
      </c>
      <c r="O87" s="637" t="str">
        <f>IF(IF($AT87&lt;&gt;"",VLOOKUP(CONCATENATE($AT87,$AU87,$AV87,$F87),'SKU Dist'!$E$2:$X$200,'SKU Dist'!I$1,FALSE),"")=0,"",IF($AT87&lt;&gt;"",VLOOKUP(CONCATENATE($AT87,$AU87,$AV87,$F87),'SKU Dist'!$E$2:$X$200,'SKU Dist'!I$1,FALSE),""))</f>
        <v/>
      </c>
      <c r="P87" s="637" t="str">
        <f>IF(IF($AT87&lt;&gt;"",VLOOKUP(CONCATENATE($AT87,$AU87,$AV87,$F87),'SKU Dist'!$E$2:$X$200,'SKU Dist'!J$1,FALSE),"")=0,"",IF($AT87&lt;&gt;"",VLOOKUP(CONCATENATE($AT87,$AU87,$AV87,$F87),'SKU Dist'!$E$2:$X$200,'SKU Dist'!J$1,FALSE),""))</f>
        <v/>
      </c>
      <c r="Q87" s="637" t="str">
        <f>IF(IF($AT87&lt;&gt;"",VLOOKUP(CONCATENATE($AT87,$AU87,$AV87,$F87),'SKU Dist'!$E$2:$X$200,'SKU Dist'!K$1,FALSE),"")=0,"",IF($AT87&lt;&gt;"",VLOOKUP(CONCATENATE($AT87,$AU87,$AV87,$F87),'SKU Dist'!$E$2:$X$200,'SKU Dist'!K$1,FALSE),""))</f>
        <v/>
      </c>
      <c r="R87" s="637" t="str">
        <f>IF(IF($AT87&lt;&gt;"",VLOOKUP(CONCATENATE($AT87,$AU87,$AV87,$F87),'SKU Dist'!$E$2:$X$200,'SKU Dist'!L$1,FALSE),"")=0,"",IF($AT87&lt;&gt;"",VLOOKUP(CONCATENATE($AT87,$AU87,$AV87,$F87),'SKU Dist'!$E$2:$X$200,'SKU Dist'!L$1,FALSE),""))</f>
        <v/>
      </c>
      <c r="S87" s="637" t="str">
        <f>IF(IF($AT87&lt;&gt;"",VLOOKUP(CONCATENATE($AT87,$AU87,$AV87,$F87),'SKU Dist'!$E$2:$X$200,'SKU Dist'!M$1,FALSE),"")=0,"",IF($AT87&lt;&gt;"",VLOOKUP(CONCATENATE($AT87,$AU87,$AV87,$F87),'SKU Dist'!$E$2:$X$200,'SKU Dist'!M$1,FALSE),""))</f>
        <v/>
      </c>
      <c r="T87" s="637" t="str">
        <f>IF(IF($AT87&lt;&gt;"",VLOOKUP(CONCATENATE($AT87,$AU87,$AV87,$F87),'SKU Dist'!$E$2:$X$200,'SKU Dist'!N$1,FALSE),"")=0,"",IF($AT87&lt;&gt;"",VLOOKUP(CONCATENATE($AT87,$AU87,$AV87,$F87),'SKU Dist'!$E$2:$X$200,'SKU Dist'!N$1,FALSE),""))</f>
        <v/>
      </c>
      <c r="U87" s="637" t="str">
        <f>IF(IF($AT87&lt;&gt;"",VLOOKUP(CONCATENATE($AT87,$AU87,$AV87,$F87),'SKU Dist'!$E$2:$X$200,'SKU Dist'!O$1,FALSE),"")=0,"",IF($AT87&lt;&gt;"",VLOOKUP(CONCATENATE($AT87,$AU87,$AV87,$F87),'SKU Dist'!$E$2:$X$200,'SKU Dist'!O$1,FALSE),""))</f>
        <v/>
      </c>
      <c r="V87" s="637" t="str">
        <f>IF(IF($AT87&lt;&gt;"",VLOOKUP(CONCATENATE($AT87,$AU87,$AV87,$F87),'SKU Dist'!$E$2:$X$200,'SKU Dist'!P$1,FALSE),"")=0,"",IF($AT87&lt;&gt;"",VLOOKUP(CONCATENATE($AT87,$AU87,$AV87,$F87),'SKU Dist'!$E$2:$X$200,'SKU Dist'!P$1,FALSE),""))</f>
        <v/>
      </c>
      <c r="W87" s="637" t="str">
        <f>IF(IF($AT87&lt;&gt;"",VLOOKUP(CONCATENATE($AT87,$AU87,$AV87,$F87),'SKU Dist'!$E$2:$X$200,'SKU Dist'!Q$1,FALSE),"")=0,"",IF($AT87&lt;&gt;"",VLOOKUP(CONCATENATE($AT87,$AU87,$AV87,$F87),'SKU Dist'!$E$2:$X$200,'SKU Dist'!Q$1,FALSE),""))</f>
        <v/>
      </c>
      <c r="X87" s="637" t="str">
        <f>IF(IF($AT87&lt;&gt;"",VLOOKUP(CONCATENATE($AT87,$AU87,$AV87,$F87),'SKU Dist'!$E$2:$X$200,'SKU Dist'!R$1,FALSE),"")=0,"",IF($AT87&lt;&gt;"",VLOOKUP(CONCATENATE($AT87,$AU87,$AV87,$F87),'SKU Dist'!$E$2:$X$200,'SKU Dist'!R$1,FALSE),""))</f>
        <v/>
      </c>
      <c r="Y87" s="637" t="str">
        <f>IF(IF($AT87&lt;&gt;"",VLOOKUP(CONCATENATE($AT87,$AU87,$AV87,$F87),'SKU Dist'!$E$2:$X$200,'SKU Dist'!S$1,FALSE),"")=0,"",IF($AT87&lt;&gt;"",VLOOKUP(CONCATENATE($AT87,$AU87,$AV87,$F87),'SKU Dist'!$E$2:$X$200,'SKU Dist'!S$1,FALSE),""))</f>
        <v/>
      </c>
      <c r="Z87" s="637" t="str">
        <f>IF(IF($AT87&lt;&gt;"",VLOOKUP(CONCATENATE($AT87,$AU87,$AV87,$F87),'SKU Dist'!$E$2:$X$200,'SKU Dist'!T$1,FALSE),"")=0,"",IF($AT87&lt;&gt;"",VLOOKUP(CONCATENATE($AT87,$AU87,$AV87,$F87),'SKU Dist'!$E$2:$X$200,'SKU Dist'!T$1,FALSE),""))</f>
        <v/>
      </c>
      <c r="AA87" s="637" t="str">
        <f>IF(IF($AT87&lt;&gt;"",VLOOKUP(CONCATENATE($AT87,$AU87,$AV87,$F87),'SKU Dist'!$E$2:$X$200,'SKU Dist'!U$1,FALSE),"")=0,"",IF($AT87&lt;&gt;"",VLOOKUP(CONCATENATE($AT87,$AU87,$AV87,$F87),'SKU Dist'!$E$2:$X$200,'SKU Dist'!U$1,FALSE),""))</f>
        <v/>
      </c>
      <c r="AB87" s="637" t="str">
        <f>IF(IF($AT87&lt;&gt;"",VLOOKUP(CONCATENATE($AT87,$AU87,$AV87,$F87),'SKU Dist'!$E$2:$X$200,'SKU Dist'!V$1,FALSE),"")=0,"",IF($AT87&lt;&gt;"",VLOOKUP(CONCATENATE($AT87,$AU87,$AV87,$F87),'SKU Dist'!$E$2:$X$200,'SKU Dist'!V$1,FALSE),""))</f>
        <v/>
      </c>
      <c r="AC87" s="637" t="str">
        <f>IF(IF($AT87&lt;&gt;"",VLOOKUP(CONCATENATE($AT87,$AU87,$AV87,$F87),'SKU Dist'!$E$2:$X$200,'SKU Dist'!W$1,FALSE),"")=0,"",IF($AT87&lt;&gt;"",VLOOKUP(CONCATENATE($AT87,$AU87,$AV87,$F87),'SKU Dist'!$E$2:$X$200,'SKU Dist'!W$1,FALSE),""))</f>
        <v/>
      </c>
      <c r="AD87" s="431"/>
      <c r="AE87" s="431"/>
      <c r="AF87" s="660"/>
      <c r="AG87" s="809">
        <f t="shared" ref="AG87" si="73">SUM(G87:AF87)</f>
        <v>0</v>
      </c>
      <c r="AH87" s="813">
        <v>75</v>
      </c>
      <c r="AI87" s="946">
        <f t="shared" si="62"/>
        <v>0</v>
      </c>
      <c r="AJ87" s="930"/>
      <c r="AT87" s="222" t="str">
        <f t="shared" si="1"/>
        <v/>
      </c>
      <c r="AU87" s="206" t="s">
        <v>22</v>
      </c>
      <c r="AV87" s="206" t="s">
        <v>10</v>
      </c>
    </row>
    <row r="88" spans="1:48" ht="16.5" thickBot="1" x14ac:dyDescent="0.3">
      <c r="A88" s="631" t="s">
        <v>248</v>
      </c>
      <c r="B88" s="1029"/>
      <c r="C88" s="861" t="s">
        <v>255</v>
      </c>
      <c r="D88" s="873" t="s">
        <v>296</v>
      </c>
      <c r="E88" s="890">
        <v>84600</v>
      </c>
      <c r="F88" s="898" t="s">
        <v>68</v>
      </c>
      <c r="G88" s="641"/>
      <c r="H88" s="392"/>
      <c r="I88" s="392"/>
      <c r="J88" s="392"/>
      <c r="K88" s="392"/>
      <c r="L88" s="392"/>
      <c r="M88" s="392"/>
      <c r="N88" s="635" t="str">
        <f>IF(IF($AT88&lt;&gt;"",VLOOKUP(CONCATENATE($AT88,$AU88,$AV88,$F88),'SKU Dist'!$E$2:$X$200,'SKU Dist'!H$1,FALSE),"")=0,"",IF($AT88&lt;&gt;"",VLOOKUP(CONCATENATE($AT88,$AU88,$AV88,$F88),'SKU Dist'!$E$2:$X$200,'SKU Dist'!H$1,FALSE),""))</f>
        <v/>
      </c>
      <c r="O88" s="635" t="str">
        <f>IF(IF($AT88&lt;&gt;"",VLOOKUP(CONCATENATE($AT88,$AU88,$AV88,$F88),'SKU Dist'!$E$2:$X$200,'SKU Dist'!I$1,FALSE),"")=0,"",IF($AT88&lt;&gt;"",VLOOKUP(CONCATENATE($AT88,$AU88,$AV88,$F88),'SKU Dist'!$E$2:$X$200,'SKU Dist'!I$1,FALSE),""))</f>
        <v/>
      </c>
      <c r="P88" s="635" t="str">
        <f>IF(IF($AT88&lt;&gt;"",VLOOKUP(CONCATENATE($AT88,$AU88,$AV88,$F88),'SKU Dist'!$E$2:$X$200,'SKU Dist'!J$1,FALSE),"")=0,"",IF($AT88&lt;&gt;"",VLOOKUP(CONCATENATE($AT88,$AU88,$AV88,$F88),'SKU Dist'!$E$2:$X$200,'SKU Dist'!J$1,FALSE),""))</f>
        <v/>
      </c>
      <c r="Q88" s="635" t="str">
        <f>IF(IF($AT88&lt;&gt;"",VLOOKUP(CONCATENATE($AT88,$AU88,$AV88,$F88),'SKU Dist'!$E$2:$X$200,'SKU Dist'!K$1,FALSE),"")=0,"",IF($AT88&lt;&gt;"",VLOOKUP(CONCATENATE($AT88,$AU88,$AV88,$F88),'SKU Dist'!$E$2:$X$200,'SKU Dist'!K$1,FALSE),""))</f>
        <v/>
      </c>
      <c r="R88" s="635" t="str">
        <f>IF(IF($AT88&lt;&gt;"",VLOOKUP(CONCATENATE($AT88,$AU88,$AV88,$F88),'SKU Dist'!$E$2:$X$200,'SKU Dist'!L$1,FALSE),"")=0,"",IF($AT88&lt;&gt;"",VLOOKUP(CONCATENATE($AT88,$AU88,$AV88,$F88),'SKU Dist'!$E$2:$X$200,'SKU Dist'!L$1,FALSE),""))</f>
        <v/>
      </c>
      <c r="S88" s="635" t="str">
        <f>IF(IF($AT88&lt;&gt;"",VLOOKUP(CONCATENATE($AT88,$AU88,$AV88,$F88),'SKU Dist'!$E$2:$X$200,'SKU Dist'!M$1,FALSE),"")=0,"",IF($AT88&lt;&gt;"",VLOOKUP(CONCATENATE($AT88,$AU88,$AV88,$F88),'SKU Dist'!$E$2:$X$200,'SKU Dist'!M$1,FALSE),""))</f>
        <v/>
      </c>
      <c r="T88" s="635" t="str">
        <f>IF(IF($AT88&lt;&gt;"",VLOOKUP(CONCATENATE($AT88,$AU88,$AV88,$F88),'SKU Dist'!$E$2:$X$200,'SKU Dist'!N$1,FALSE),"")=0,"",IF($AT88&lt;&gt;"",VLOOKUP(CONCATENATE($AT88,$AU88,$AV88,$F88),'SKU Dist'!$E$2:$X$200,'SKU Dist'!N$1,FALSE),""))</f>
        <v/>
      </c>
      <c r="U88" s="635" t="str">
        <f>IF(IF($AT88&lt;&gt;"",VLOOKUP(CONCATENATE($AT88,$AU88,$AV88,$F88),'SKU Dist'!$E$2:$X$200,'SKU Dist'!O$1,FALSE),"")=0,"",IF($AT88&lt;&gt;"",VLOOKUP(CONCATENATE($AT88,$AU88,$AV88,$F88),'SKU Dist'!$E$2:$X$200,'SKU Dist'!O$1,FALSE),""))</f>
        <v/>
      </c>
      <c r="V88" s="635" t="str">
        <f>IF(IF($AT88&lt;&gt;"",VLOOKUP(CONCATENATE($AT88,$AU88,$AV88,$F88),'SKU Dist'!$E$2:$X$200,'SKU Dist'!P$1,FALSE),"")=0,"",IF($AT88&lt;&gt;"",VLOOKUP(CONCATENATE($AT88,$AU88,$AV88,$F88),'SKU Dist'!$E$2:$X$200,'SKU Dist'!P$1,FALSE),""))</f>
        <v/>
      </c>
      <c r="W88" s="635" t="str">
        <f>IF(IF($AT88&lt;&gt;"",VLOOKUP(CONCATENATE($AT88,$AU88,$AV88,$F88),'SKU Dist'!$E$2:$X$200,'SKU Dist'!Q$1,FALSE),"")=0,"",IF($AT88&lt;&gt;"",VLOOKUP(CONCATENATE($AT88,$AU88,$AV88,$F88),'SKU Dist'!$E$2:$X$200,'SKU Dist'!Q$1,FALSE),""))</f>
        <v/>
      </c>
      <c r="X88" s="635" t="str">
        <f>IF(IF($AT88&lt;&gt;"",VLOOKUP(CONCATENATE($AT88,$AU88,$AV88,$F88),'SKU Dist'!$E$2:$X$200,'SKU Dist'!R$1,FALSE),"")=0,"",IF($AT88&lt;&gt;"",VLOOKUP(CONCATENATE($AT88,$AU88,$AV88,$F88),'SKU Dist'!$E$2:$X$200,'SKU Dist'!R$1,FALSE),""))</f>
        <v/>
      </c>
      <c r="Y88" s="635" t="str">
        <f>IF(IF($AT88&lt;&gt;"",VLOOKUP(CONCATENATE($AT88,$AU88,$AV88,$F88),'SKU Dist'!$E$2:$X$200,'SKU Dist'!S$1,FALSE),"")=0,"",IF($AT88&lt;&gt;"",VLOOKUP(CONCATENATE($AT88,$AU88,$AV88,$F88),'SKU Dist'!$E$2:$X$200,'SKU Dist'!S$1,FALSE),""))</f>
        <v/>
      </c>
      <c r="Z88" s="635" t="str">
        <f>IF(IF($AT88&lt;&gt;"",VLOOKUP(CONCATENATE($AT88,$AU88,$AV88,$F88),'SKU Dist'!$E$2:$X$200,'SKU Dist'!T$1,FALSE),"")=0,"",IF($AT88&lt;&gt;"",VLOOKUP(CONCATENATE($AT88,$AU88,$AV88,$F88),'SKU Dist'!$E$2:$X$200,'SKU Dist'!T$1,FALSE),""))</f>
        <v/>
      </c>
      <c r="AA88" s="635" t="str">
        <f>IF(IF($AT88&lt;&gt;"",VLOOKUP(CONCATENATE($AT88,$AU88,$AV88,$F88),'SKU Dist'!$E$2:$X$200,'SKU Dist'!U$1,FALSE),"")=0,"",IF($AT88&lt;&gt;"",VLOOKUP(CONCATENATE($AT88,$AU88,$AV88,$F88),'SKU Dist'!$E$2:$X$200,'SKU Dist'!U$1,FALSE),""))</f>
        <v/>
      </c>
      <c r="AB88" s="635" t="str">
        <f>IF(IF($AT88&lt;&gt;"",VLOOKUP(CONCATENATE($AT88,$AU88,$AV88,$F88),'SKU Dist'!$E$2:$X$200,'SKU Dist'!V$1,FALSE),"")=0,"",IF($AT88&lt;&gt;"",VLOOKUP(CONCATENATE($AT88,$AU88,$AV88,$F88),'SKU Dist'!$E$2:$X$200,'SKU Dist'!V$1,FALSE),""))</f>
        <v/>
      </c>
      <c r="AC88" s="635" t="str">
        <f>IF(IF($AT88&lt;&gt;"",VLOOKUP(CONCATENATE($AT88,$AU88,$AV88,$F88),'SKU Dist'!$E$2:$X$200,'SKU Dist'!W$1,FALSE),"")=0,"",IF($AT88&lt;&gt;"",VLOOKUP(CONCATENATE($AT88,$AU88,$AV88,$F88),'SKU Dist'!$E$2:$X$200,'SKU Dist'!W$1,FALSE),""))</f>
        <v/>
      </c>
      <c r="AD88" s="392"/>
      <c r="AE88" s="392"/>
      <c r="AF88" s="750"/>
      <c r="AG88" s="805">
        <f t="shared" ref="AG88" si="74">SUM(G88:AF88)</f>
        <v>0</v>
      </c>
      <c r="AH88" s="835">
        <v>75</v>
      </c>
      <c r="AI88" s="948">
        <f t="shared" si="62"/>
        <v>0</v>
      </c>
      <c r="AJ88" s="935"/>
      <c r="AT88" s="222" t="str">
        <f t="shared" si="1"/>
        <v/>
      </c>
      <c r="AU88" s="206" t="s">
        <v>22</v>
      </c>
      <c r="AV88" s="206" t="s">
        <v>10</v>
      </c>
    </row>
    <row r="89" spans="1:48" ht="15.75" x14ac:dyDescent="0.25">
      <c r="A89" s="381">
        <f>SUM(AG87:AG94)</f>
        <v>0</v>
      </c>
      <c r="B89" s="1112"/>
      <c r="C89" s="857" t="s">
        <v>255</v>
      </c>
      <c r="D89" s="868" t="s">
        <v>296</v>
      </c>
      <c r="E89" s="888">
        <v>84602</v>
      </c>
      <c r="F89" s="899" t="s">
        <v>35</v>
      </c>
      <c r="G89" s="641"/>
      <c r="H89" s="392"/>
      <c r="I89" s="392"/>
      <c r="J89" s="389"/>
      <c r="K89" s="389"/>
      <c r="L89" s="389" t="str">
        <f>IF(IF($AT89&lt;&gt;"",VLOOKUP(CONCATENATE($AT89,$AU89,$AV89,$F89),'SKU Dist'!$E$2:$X$200,'SKU Dist'!F$1,FALSE),"")=0,"",IF($AT89&lt;&gt;"",VLOOKUP(CONCATENATE($AT89,$AU89,$AV89,$F89),'SKU Dist'!$E$2:$X$200,'SKU Dist'!F$1,FALSE),""))</f>
        <v/>
      </c>
      <c r="M89" s="389" t="str">
        <f>IF(IF($AT89&lt;&gt;"",VLOOKUP(CONCATENATE($AT89,$AU89,$AV89,$F89),'SKU Dist'!$E$2:$X$200,'SKU Dist'!G$1,FALSE),"")=0,"",IF($AT89&lt;&gt;"",VLOOKUP(CONCATENATE($AT89,$AU89,$AV89,$F89),'SKU Dist'!$E$2:$X$200,'SKU Dist'!G$1,FALSE),""))</f>
        <v/>
      </c>
      <c r="N89" s="389" t="str">
        <f>IF(IF($AT89&lt;&gt;"",VLOOKUP(CONCATENATE($AT89,$AU89,$AV89,$F89),'SKU Dist'!$E$2:$X$200,'SKU Dist'!H$1,FALSE),"")=0,"",IF($AT89&lt;&gt;"",VLOOKUP(CONCATENATE($AT89,$AU89,$AV89,$F89),'SKU Dist'!$E$2:$X$200,'SKU Dist'!H$1,FALSE),""))</f>
        <v/>
      </c>
      <c r="O89" s="389" t="str">
        <f>IF(IF($AT89&lt;&gt;"",VLOOKUP(CONCATENATE($AT89,$AU89,$AV89,$F89),'SKU Dist'!$E$2:$X$200,'SKU Dist'!I$1,FALSE),"")=0,"",IF($AT89&lt;&gt;"",VLOOKUP(CONCATENATE($AT89,$AU89,$AV89,$F89),'SKU Dist'!$E$2:$X$200,'SKU Dist'!I$1,FALSE),""))</f>
        <v/>
      </c>
      <c r="P89" s="389" t="str">
        <f>IF(IF($AT89&lt;&gt;"",VLOOKUP(CONCATENATE($AT89,$AU89,$AV89,$F89),'SKU Dist'!$E$2:$X$200,'SKU Dist'!J$1,FALSE),"")=0,"",IF($AT89&lt;&gt;"",VLOOKUP(CONCATENATE($AT89,$AU89,$AV89,$F89),'SKU Dist'!$E$2:$X$200,'SKU Dist'!J$1,FALSE),""))</f>
        <v/>
      </c>
      <c r="Q89" s="389" t="str">
        <f>IF(IF($AT89&lt;&gt;"",VLOOKUP(CONCATENATE($AT89,$AU89,$AV89,$F89),'SKU Dist'!$E$2:$X$200,'SKU Dist'!K$1,FALSE),"")=0,"",IF($AT89&lt;&gt;"",VLOOKUP(CONCATENATE($AT89,$AU89,$AV89,$F89),'SKU Dist'!$E$2:$X$200,'SKU Dist'!K$1,FALSE),""))</f>
        <v/>
      </c>
      <c r="R89" s="389" t="str">
        <f>IF(IF($AT89&lt;&gt;"",VLOOKUP(CONCATENATE($AT89,$AU89,$AV89,$F89),'SKU Dist'!$E$2:$X$200,'SKU Dist'!L$1,FALSE),"")=0,"",IF($AT89&lt;&gt;"",VLOOKUP(CONCATENATE($AT89,$AU89,$AV89,$F89),'SKU Dist'!$E$2:$X$200,'SKU Dist'!L$1,FALSE),""))</f>
        <v/>
      </c>
      <c r="S89" s="389" t="str">
        <f>IF(IF($AT89&lt;&gt;"",VLOOKUP(CONCATENATE($AT89,$AU89,$AV89,$F89),'SKU Dist'!$E$2:$X$200,'SKU Dist'!M$1,FALSE),"")=0,"",IF($AT89&lt;&gt;"",VLOOKUP(CONCATENATE($AT89,$AU89,$AV89,$F89),'SKU Dist'!$E$2:$X$200,'SKU Dist'!M$1,FALSE),""))</f>
        <v/>
      </c>
      <c r="T89" s="389" t="str">
        <f>IF(IF($AT89&lt;&gt;"",VLOOKUP(CONCATENATE($AT89,$AU89,$AV89,$F89),'SKU Dist'!$E$2:$X$200,'SKU Dist'!N$1,FALSE),"")=0,"",IF($AT89&lt;&gt;"",VLOOKUP(CONCATENATE($AT89,$AU89,$AV89,$F89),'SKU Dist'!$E$2:$X$200,'SKU Dist'!N$1,FALSE),""))</f>
        <v/>
      </c>
      <c r="U89" s="389" t="str">
        <f>IF(IF($AT89&lt;&gt;"",VLOOKUP(CONCATENATE($AT89,$AU89,$AV89,$F89),'SKU Dist'!$E$2:$X$200,'SKU Dist'!O$1,FALSE),"")=0,"",IF($AT89&lt;&gt;"",VLOOKUP(CONCATENATE($AT89,$AU89,$AV89,$F89),'SKU Dist'!$E$2:$X$200,'SKU Dist'!O$1,FALSE),""))</f>
        <v/>
      </c>
      <c r="V89" s="389" t="str">
        <f>IF(IF($AT89&lt;&gt;"",VLOOKUP(CONCATENATE($AT89,$AU89,$AV89,$F89),'SKU Dist'!$E$2:$X$200,'SKU Dist'!P$1,FALSE),"")=0,"",IF($AT89&lt;&gt;"",VLOOKUP(CONCATENATE($AT89,$AU89,$AV89,$F89),'SKU Dist'!$E$2:$X$200,'SKU Dist'!P$1,FALSE),""))</f>
        <v/>
      </c>
      <c r="W89" s="389" t="str">
        <f>IF(IF($AT89&lt;&gt;"",VLOOKUP(CONCATENATE($AT89,$AU89,$AV89,$F89),'SKU Dist'!$E$2:$X$200,'SKU Dist'!Q$1,FALSE),"")=0,"",IF($AT89&lt;&gt;"",VLOOKUP(CONCATENATE($AT89,$AU89,$AV89,$F89),'SKU Dist'!$E$2:$X$200,'SKU Dist'!Q$1,FALSE),""))</f>
        <v/>
      </c>
      <c r="X89" s="389" t="str">
        <f>IF(IF($AT89&lt;&gt;"",VLOOKUP(CONCATENATE($AT89,$AU89,$AV89,$F89),'SKU Dist'!$E$2:$X$200,'SKU Dist'!R$1,FALSE),"")=0,"",IF($AT89&lt;&gt;"",VLOOKUP(CONCATENATE($AT89,$AU89,$AV89,$F89),'SKU Dist'!$E$2:$X$200,'SKU Dist'!R$1,FALSE),""))</f>
        <v/>
      </c>
      <c r="Y89" s="389" t="str">
        <f>IF(IF($AT89&lt;&gt;"",VLOOKUP(CONCATENATE($AT89,$AU89,$AV89,$F89),'SKU Dist'!$E$2:$X$200,'SKU Dist'!S$1,FALSE),"")=0,"",IF($AT89&lt;&gt;"",VLOOKUP(CONCATENATE($AT89,$AU89,$AV89,$F89),'SKU Dist'!$E$2:$X$200,'SKU Dist'!S$1,FALSE),""))</f>
        <v/>
      </c>
      <c r="Z89" s="389" t="str">
        <f>IF(IF($AT89&lt;&gt;"",VLOOKUP(CONCATENATE($AT89,$AU89,$AV89,$F89),'SKU Dist'!$E$2:$X$200,'SKU Dist'!T$1,FALSE),"")=0,"",IF($AT89&lt;&gt;"",VLOOKUP(CONCATENATE($AT89,$AU89,$AV89,$F89),'SKU Dist'!$E$2:$X$200,'SKU Dist'!T$1,FALSE),""))</f>
        <v/>
      </c>
      <c r="AA89" s="389" t="str">
        <f>IF(IF($AT89&lt;&gt;"",VLOOKUP(CONCATENATE($AT89,$AU89,$AV89,$F89),'SKU Dist'!$E$2:$X$200,'SKU Dist'!U$1,FALSE),"")=0,"",IF($AT89&lt;&gt;"",VLOOKUP(CONCATENATE($AT89,$AU89,$AV89,$F89),'SKU Dist'!$E$2:$X$200,'SKU Dist'!U$1,FALSE),""))</f>
        <v/>
      </c>
      <c r="AB89" s="389" t="str">
        <f>IF(IF($AT89&lt;&gt;"",VLOOKUP(CONCATENATE($AT89,$AU89,$AV89,$F89),'SKU Dist'!$E$2:$X$200,'SKU Dist'!V$1,FALSE),"")=0,"",IF($AT89&lt;&gt;"",VLOOKUP(CONCATENATE($AT89,$AU89,$AV89,$F89),'SKU Dist'!$E$2:$X$200,'SKU Dist'!V$1,FALSE),""))</f>
        <v/>
      </c>
      <c r="AC89" s="389" t="str">
        <f>IF(IF($AT89&lt;&gt;"",VLOOKUP(CONCATENATE($AT89,$AU89,$AV89,$F89),'SKU Dist'!$E$2:$X$200,'SKU Dist'!W$1,FALSE),"")=0,"",IF($AT89&lt;&gt;"",VLOOKUP(CONCATENATE($AT89,$AU89,$AV89,$F89),'SKU Dist'!$E$2:$X$200,'SKU Dist'!W$1,FALSE),""))</f>
        <v/>
      </c>
      <c r="AD89" s="392"/>
      <c r="AE89" s="392"/>
      <c r="AF89" s="750"/>
      <c r="AG89" s="804">
        <f t="shared" ref="AG89" si="75">SUM(G89:AF89)</f>
        <v>0</v>
      </c>
      <c r="AH89" s="816">
        <v>75</v>
      </c>
      <c r="AI89" s="943">
        <f t="shared" si="62"/>
        <v>0</v>
      </c>
      <c r="AJ89" s="932"/>
      <c r="AT89" s="222" t="str">
        <f t="shared" si="1"/>
        <v/>
      </c>
      <c r="AU89" s="206" t="s">
        <v>22</v>
      </c>
      <c r="AV89" s="206" t="s">
        <v>10</v>
      </c>
    </row>
    <row r="90" spans="1:48" ht="15.75" x14ac:dyDescent="0.25">
      <c r="A90" s="851">
        <f>SUM(AI87:AI94)</f>
        <v>0</v>
      </c>
      <c r="B90" s="1031"/>
      <c r="C90" s="857" t="s">
        <v>255</v>
      </c>
      <c r="D90" s="868" t="s">
        <v>296</v>
      </c>
      <c r="E90" s="888">
        <v>84602</v>
      </c>
      <c r="F90" s="887" t="s">
        <v>68</v>
      </c>
      <c r="G90" s="641"/>
      <c r="H90" s="392"/>
      <c r="I90" s="392"/>
      <c r="J90" s="392"/>
      <c r="K90" s="392"/>
      <c r="L90" s="392"/>
      <c r="M90" s="392"/>
      <c r="N90" s="389" t="str">
        <f>IF(IF($AT90&lt;&gt;"",VLOOKUP(CONCATENATE($AT90,$AU90,$AV90,$F90),'SKU Dist'!$E$2:$X$200,'SKU Dist'!H$1,FALSE),"")=0,"",IF($AT90&lt;&gt;"",VLOOKUP(CONCATENATE($AT90,$AU90,$AV90,$F90),'SKU Dist'!$E$2:$X$200,'SKU Dist'!H$1,FALSE),""))</f>
        <v/>
      </c>
      <c r="O90" s="389" t="str">
        <f>IF(IF($AT90&lt;&gt;"",VLOOKUP(CONCATENATE($AT90,$AU90,$AV90,$F90),'SKU Dist'!$E$2:$X$200,'SKU Dist'!I$1,FALSE),"")=0,"",IF($AT90&lt;&gt;"",VLOOKUP(CONCATENATE($AT90,$AU90,$AV90,$F90),'SKU Dist'!$E$2:$X$200,'SKU Dist'!I$1,FALSE),""))</f>
        <v/>
      </c>
      <c r="P90" s="389" t="str">
        <f>IF(IF($AT90&lt;&gt;"",VLOOKUP(CONCATENATE($AT90,$AU90,$AV90,$F90),'SKU Dist'!$E$2:$X$200,'SKU Dist'!J$1,FALSE),"")=0,"",IF($AT90&lt;&gt;"",VLOOKUP(CONCATENATE($AT90,$AU90,$AV90,$F90),'SKU Dist'!$E$2:$X$200,'SKU Dist'!J$1,FALSE),""))</f>
        <v/>
      </c>
      <c r="Q90" s="389" t="str">
        <f>IF(IF($AT90&lt;&gt;"",VLOOKUP(CONCATENATE($AT90,$AU90,$AV90,$F90),'SKU Dist'!$E$2:$X$200,'SKU Dist'!K$1,FALSE),"")=0,"",IF($AT90&lt;&gt;"",VLOOKUP(CONCATENATE($AT90,$AU90,$AV90,$F90),'SKU Dist'!$E$2:$X$200,'SKU Dist'!K$1,FALSE),""))</f>
        <v/>
      </c>
      <c r="R90" s="389" t="str">
        <f>IF(IF($AT90&lt;&gt;"",VLOOKUP(CONCATENATE($AT90,$AU90,$AV90,$F90),'SKU Dist'!$E$2:$X$200,'SKU Dist'!L$1,FALSE),"")=0,"",IF($AT90&lt;&gt;"",VLOOKUP(CONCATENATE($AT90,$AU90,$AV90,$F90),'SKU Dist'!$E$2:$X$200,'SKU Dist'!L$1,FALSE),""))</f>
        <v/>
      </c>
      <c r="S90" s="389" t="str">
        <f>IF(IF($AT90&lt;&gt;"",VLOOKUP(CONCATENATE($AT90,$AU90,$AV90,$F90),'SKU Dist'!$E$2:$X$200,'SKU Dist'!M$1,FALSE),"")=0,"",IF($AT90&lt;&gt;"",VLOOKUP(CONCATENATE($AT90,$AU90,$AV90,$F90),'SKU Dist'!$E$2:$X$200,'SKU Dist'!M$1,FALSE),""))</f>
        <v/>
      </c>
      <c r="T90" s="389" t="str">
        <f>IF(IF($AT90&lt;&gt;"",VLOOKUP(CONCATENATE($AT90,$AU90,$AV90,$F90),'SKU Dist'!$E$2:$X$200,'SKU Dist'!N$1,FALSE),"")=0,"",IF($AT90&lt;&gt;"",VLOOKUP(CONCATENATE($AT90,$AU90,$AV90,$F90),'SKU Dist'!$E$2:$X$200,'SKU Dist'!N$1,FALSE),""))</f>
        <v/>
      </c>
      <c r="U90" s="389" t="str">
        <f>IF(IF($AT90&lt;&gt;"",VLOOKUP(CONCATENATE($AT90,$AU90,$AV90,$F90),'SKU Dist'!$E$2:$X$200,'SKU Dist'!O$1,FALSE),"")=0,"",IF($AT90&lt;&gt;"",VLOOKUP(CONCATENATE($AT90,$AU90,$AV90,$F90),'SKU Dist'!$E$2:$X$200,'SKU Dist'!O$1,FALSE),""))</f>
        <v/>
      </c>
      <c r="V90" s="389" t="str">
        <f>IF(IF($AT90&lt;&gt;"",VLOOKUP(CONCATENATE($AT90,$AU90,$AV90,$F90),'SKU Dist'!$E$2:$X$200,'SKU Dist'!P$1,FALSE),"")=0,"",IF($AT90&lt;&gt;"",VLOOKUP(CONCATENATE($AT90,$AU90,$AV90,$F90),'SKU Dist'!$E$2:$X$200,'SKU Dist'!P$1,FALSE),""))</f>
        <v/>
      </c>
      <c r="W90" s="389" t="str">
        <f>IF(IF($AT90&lt;&gt;"",VLOOKUP(CONCATENATE($AT90,$AU90,$AV90,$F90),'SKU Dist'!$E$2:$X$200,'SKU Dist'!Q$1,FALSE),"")=0,"",IF($AT90&lt;&gt;"",VLOOKUP(CONCATENATE($AT90,$AU90,$AV90,$F90),'SKU Dist'!$E$2:$X$200,'SKU Dist'!Q$1,FALSE),""))</f>
        <v/>
      </c>
      <c r="X90" s="389" t="str">
        <f>IF(IF($AT90&lt;&gt;"",VLOOKUP(CONCATENATE($AT90,$AU90,$AV90,$F90),'SKU Dist'!$E$2:$X$200,'SKU Dist'!R$1,FALSE),"")=0,"",IF($AT90&lt;&gt;"",VLOOKUP(CONCATENATE($AT90,$AU90,$AV90,$F90),'SKU Dist'!$E$2:$X$200,'SKU Dist'!R$1,FALSE),""))</f>
        <v/>
      </c>
      <c r="Y90" s="389" t="str">
        <f>IF(IF($AT90&lt;&gt;"",VLOOKUP(CONCATENATE($AT90,$AU90,$AV90,$F90),'SKU Dist'!$E$2:$X$200,'SKU Dist'!S$1,FALSE),"")=0,"",IF($AT90&lt;&gt;"",VLOOKUP(CONCATENATE($AT90,$AU90,$AV90,$F90),'SKU Dist'!$E$2:$X$200,'SKU Dist'!S$1,FALSE),""))</f>
        <v/>
      </c>
      <c r="Z90" s="389" t="str">
        <f>IF(IF($AT90&lt;&gt;"",VLOOKUP(CONCATENATE($AT90,$AU90,$AV90,$F90),'SKU Dist'!$E$2:$X$200,'SKU Dist'!T$1,FALSE),"")=0,"",IF($AT90&lt;&gt;"",VLOOKUP(CONCATENATE($AT90,$AU90,$AV90,$F90),'SKU Dist'!$E$2:$X$200,'SKU Dist'!T$1,FALSE),""))</f>
        <v/>
      </c>
      <c r="AA90" s="389" t="str">
        <f>IF(IF($AT90&lt;&gt;"",VLOOKUP(CONCATENATE($AT90,$AU90,$AV90,$F90),'SKU Dist'!$E$2:$X$200,'SKU Dist'!U$1,FALSE),"")=0,"",IF($AT90&lt;&gt;"",VLOOKUP(CONCATENATE($AT90,$AU90,$AV90,$F90),'SKU Dist'!$E$2:$X$200,'SKU Dist'!U$1,FALSE),""))</f>
        <v/>
      </c>
      <c r="AB90" s="389" t="str">
        <f>IF(IF($AT90&lt;&gt;"",VLOOKUP(CONCATENATE($AT90,$AU90,$AV90,$F90),'SKU Dist'!$E$2:$X$200,'SKU Dist'!V$1,FALSE),"")=0,"",IF($AT90&lt;&gt;"",VLOOKUP(CONCATENATE($AT90,$AU90,$AV90,$F90),'SKU Dist'!$E$2:$X$200,'SKU Dist'!V$1,FALSE),""))</f>
        <v/>
      </c>
      <c r="AC90" s="389" t="str">
        <f>IF(IF($AT90&lt;&gt;"",VLOOKUP(CONCATENATE($AT90,$AU90,$AV90,$F90),'SKU Dist'!$E$2:$X$200,'SKU Dist'!W$1,FALSE),"")=0,"",IF($AT90&lt;&gt;"",VLOOKUP(CONCATENATE($AT90,$AU90,$AV90,$F90),'SKU Dist'!$E$2:$X$200,'SKU Dist'!W$1,FALSE),""))</f>
        <v/>
      </c>
      <c r="AD90" s="392"/>
      <c r="AE90" s="392"/>
      <c r="AF90" s="750"/>
      <c r="AG90" s="804">
        <f t="shared" ref="AG90" si="76">SUM(G90:AF90)</f>
        <v>0</v>
      </c>
      <c r="AH90" s="816">
        <v>75</v>
      </c>
      <c r="AI90" s="943">
        <f t="shared" si="62"/>
        <v>0</v>
      </c>
      <c r="AJ90" s="932"/>
      <c r="AT90" s="222" t="str">
        <f t="shared" si="1"/>
        <v/>
      </c>
      <c r="AU90" s="206" t="s">
        <v>22</v>
      </c>
      <c r="AV90" s="206" t="s">
        <v>10</v>
      </c>
    </row>
    <row r="91" spans="1:48" ht="15.75" x14ac:dyDescent="0.25">
      <c r="A91" s="851"/>
      <c r="B91" s="1029"/>
      <c r="C91" s="861" t="s">
        <v>255</v>
      </c>
      <c r="D91" s="873" t="s">
        <v>296</v>
      </c>
      <c r="E91" s="890">
        <v>84603</v>
      </c>
      <c r="F91" s="906" t="s">
        <v>35</v>
      </c>
      <c r="G91" s="641"/>
      <c r="H91" s="392"/>
      <c r="I91" s="392"/>
      <c r="J91" s="635"/>
      <c r="K91" s="635"/>
      <c r="L91" s="635" t="str">
        <f>IF(IF($AT91&lt;&gt;"",VLOOKUP(CONCATENATE($AT91,$AU91,$AV91,$F91),'SKU Dist'!$E$2:$X$200,'SKU Dist'!F$1,FALSE),"")=0,"",IF($AT91&lt;&gt;"",VLOOKUP(CONCATENATE($AT91,$AU91,$AV91,$F91),'SKU Dist'!$E$2:$X$200,'SKU Dist'!F$1,FALSE),""))</f>
        <v/>
      </c>
      <c r="M91" s="635" t="str">
        <f>IF(IF($AT91&lt;&gt;"",VLOOKUP(CONCATENATE($AT91,$AU91,$AV91,$F91),'SKU Dist'!$E$2:$X$200,'SKU Dist'!G$1,FALSE),"")=0,"",IF($AT91&lt;&gt;"",VLOOKUP(CONCATENATE($AT91,$AU91,$AV91,$F91),'SKU Dist'!$E$2:$X$200,'SKU Dist'!G$1,FALSE),""))</f>
        <v/>
      </c>
      <c r="N91" s="635" t="str">
        <f>IF(IF($AT91&lt;&gt;"",VLOOKUP(CONCATENATE($AT91,$AU91,$AV91,$F91),'SKU Dist'!$E$2:$X$200,'SKU Dist'!H$1,FALSE),"")=0,"",IF($AT91&lt;&gt;"",VLOOKUP(CONCATENATE($AT91,$AU91,$AV91,$F91),'SKU Dist'!$E$2:$X$200,'SKU Dist'!H$1,FALSE),""))</f>
        <v/>
      </c>
      <c r="O91" s="635" t="str">
        <f>IF(IF($AT91&lt;&gt;"",VLOOKUP(CONCATENATE($AT91,$AU91,$AV91,$F91),'SKU Dist'!$E$2:$X$200,'SKU Dist'!I$1,FALSE),"")=0,"",IF($AT91&lt;&gt;"",VLOOKUP(CONCATENATE($AT91,$AU91,$AV91,$F91),'SKU Dist'!$E$2:$X$200,'SKU Dist'!I$1,FALSE),""))</f>
        <v/>
      </c>
      <c r="P91" s="635" t="str">
        <f>IF(IF($AT91&lt;&gt;"",VLOOKUP(CONCATENATE($AT91,$AU91,$AV91,$F91),'SKU Dist'!$E$2:$X$200,'SKU Dist'!J$1,FALSE),"")=0,"",IF($AT91&lt;&gt;"",VLOOKUP(CONCATENATE($AT91,$AU91,$AV91,$F91),'SKU Dist'!$E$2:$X$200,'SKU Dist'!J$1,FALSE),""))</f>
        <v/>
      </c>
      <c r="Q91" s="635" t="str">
        <f>IF(IF($AT91&lt;&gt;"",VLOOKUP(CONCATENATE($AT91,$AU91,$AV91,$F91),'SKU Dist'!$E$2:$X$200,'SKU Dist'!K$1,FALSE),"")=0,"",IF($AT91&lt;&gt;"",VLOOKUP(CONCATENATE($AT91,$AU91,$AV91,$F91),'SKU Dist'!$E$2:$X$200,'SKU Dist'!K$1,FALSE),""))</f>
        <v/>
      </c>
      <c r="R91" s="635" t="str">
        <f>IF(IF($AT91&lt;&gt;"",VLOOKUP(CONCATENATE($AT91,$AU91,$AV91,$F91),'SKU Dist'!$E$2:$X$200,'SKU Dist'!L$1,FALSE),"")=0,"",IF($AT91&lt;&gt;"",VLOOKUP(CONCATENATE($AT91,$AU91,$AV91,$F91),'SKU Dist'!$E$2:$X$200,'SKU Dist'!L$1,FALSE),""))</f>
        <v/>
      </c>
      <c r="S91" s="635" t="str">
        <f>IF(IF($AT91&lt;&gt;"",VLOOKUP(CONCATENATE($AT91,$AU91,$AV91,$F91),'SKU Dist'!$E$2:$X$200,'SKU Dist'!M$1,FALSE),"")=0,"",IF($AT91&lt;&gt;"",VLOOKUP(CONCATENATE($AT91,$AU91,$AV91,$F91),'SKU Dist'!$E$2:$X$200,'SKU Dist'!M$1,FALSE),""))</f>
        <v/>
      </c>
      <c r="T91" s="635" t="str">
        <f>IF(IF($AT91&lt;&gt;"",VLOOKUP(CONCATENATE($AT91,$AU91,$AV91,$F91),'SKU Dist'!$E$2:$X$200,'SKU Dist'!N$1,FALSE),"")=0,"",IF($AT91&lt;&gt;"",VLOOKUP(CONCATENATE($AT91,$AU91,$AV91,$F91),'SKU Dist'!$E$2:$X$200,'SKU Dist'!N$1,FALSE),""))</f>
        <v/>
      </c>
      <c r="U91" s="635" t="str">
        <f>IF(IF($AT91&lt;&gt;"",VLOOKUP(CONCATENATE($AT91,$AU91,$AV91,$F91),'SKU Dist'!$E$2:$X$200,'SKU Dist'!O$1,FALSE),"")=0,"",IF($AT91&lt;&gt;"",VLOOKUP(CONCATENATE($AT91,$AU91,$AV91,$F91),'SKU Dist'!$E$2:$X$200,'SKU Dist'!O$1,FALSE),""))</f>
        <v/>
      </c>
      <c r="V91" s="635" t="str">
        <f>IF(IF($AT91&lt;&gt;"",VLOOKUP(CONCATENATE($AT91,$AU91,$AV91,$F91),'SKU Dist'!$E$2:$X$200,'SKU Dist'!P$1,FALSE),"")=0,"",IF($AT91&lt;&gt;"",VLOOKUP(CONCATENATE($AT91,$AU91,$AV91,$F91),'SKU Dist'!$E$2:$X$200,'SKU Dist'!P$1,FALSE),""))</f>
        <v/>
      </c>
      <c r="W91" s="635" t="str">
        <f>IF(IF($AT91&lt;&gt;"",VLOOKUP(CONCATENATE($AT91,$AU91,$AV91,$F91),'SKU Dist'!$E$2:$X$200,'SKU Dist'!Q$1,FALSE),"")=0,"",IF($AT91&lt;&gt;"",VLOOKUP(CONCATENATE($AT91,$AU91,$AV91,$F91),'SKU Dist'!$E$2:$X$200,'SKU Dist'!Q$1,FALSE),""))</f>
        <v/>
      </c>
      <c r="X91" s="635" t="str">
        <f>IF(IF($AT91&lt;&gt;"",VLOOKUP(CONCATENATE($AT91,$AU91,$AV91,$F91),'SKU Dist'!$E$2:$X$200,'SKU Dist'!R$1,FALSE),"")=0,"",IF($AT91&lt;&gt;"",VLOOKUP(CONCATENATE($AT91,$AU91,$AV91,$F91),'SKU Dist'!$E$2:$X$200,'SKU Dist'!R$1,FALSE),""))</f>
        <v/>
      </c>
      <c r="Y91" s="635" t="str">
        <f>IF(IF($AT91&lt;&gt;"",VLOOKUP(CONCATENATE($AT91,$AU91,$AV91,$F91),'SKU Dist'!$E$2:$X$200,'SKU Dist'!S$1,FALSE),"")=0,"",IF($AT91&lt;&gt;"",VLOOKUP(CONCATENATE($AT91,$AU91,$AV91,$F91),'SKU Dist'!$E$2:$X$200,'SKU Dist'!S$1,FALSE),""))</f>
        <v/>
      </c>
      <c r="Z91" s="635" t="str">
        <f>IF(IF($AT91&lt;&gt;"",VLOOKUP(CONCATENATE($AT91,$AU91,$AV91,$F91),'SKU Dist'!$E$2:$X$200,'SKU Dist'!T$1,FALSE),"")=0,"",IF($AT91&lt;&gt;"",VLOOKUP(CONCATENATE($AT91,$AU91,$AV91,$F91),'SKU Dist'!$E$2:$X$200,'SKU Dist'!T$1,FALSE),""))</f>
        <v/>
      </c>
      <c r="AA91" s="635" t="str">
        <f>IF(IF($AT91&lt;&gt;"",VLOOKUP(CONCATENATE($AT91,$AU91,$AV91,$F91),'SKU Dist'!$E$2:$X$200,'SKU Dist'!U$1,FALSE),"")=0,"",IF($AT91&lt;&gt;"",VLOOKUP(CONCATENATE($AT91,$AU91,$AV91,$F91),'SKU Dist'!$E$2:$X$200,'SKU Dist'!U$1,FALSE),""))</f>
        <v/>
      </c>
      <c r="AB91" s="635" t="str">
        <f>IF(IF($AT91&lt;&gt;"",VLOOKUP(CONCATENATE($AT91,$AU91,$AV91,$F91),'SKU Dist'!$E$2:$X$200,'SKU Dist'!V$1,FALSE),"")=0,"",IF($AT91&lt;&gt;"",VLOOKUP(CONCATENATE($AT91,$AU91,$AV91,$F91),'SKU Dist'!$E$2:$X$200,'SKU Dist'!V$1,FALSE),""))</f>
        <v/>
      </c>
      <c r="AC91" s="635" t="str">
        <f>IF(IF($AT91&lt;&gt;"",VLOOKUP(CONCATENATE($AT91,$AU91,$AV91,$F91),'SKU Dist'!$E$2:$X$200,'SKU Dist'!W$1,FALSE),"")=0,"",IF($AT91&lt;&gt;"",VLOOKUP(CONCATENATE($AT91,$AU91,$AV91,$F91),'SKU Dist'!$E$2:$X$200,'SKU Dist'!W$1,FALSE),""))</f>
        <v/>
      </c>
      <c r="AD91" s="392"/>
      <c r="AE91" s="392"/>
      <c r="AF91" s="750"/>
      <c r="AG91" s="805">
        <f t="shared" ref="AG91" si="77">SUM(G91:AF91)</f>
        <v>0</v>
      </c>
      <c r="AH91" s="835">
        <v>70</v>
      </c>
      <c r="AI91" s="948">
        <f t="shared" si="62"/>
        <v>0</v>
      </c>
      <c r="AJ91" s="935"/>
      <c r="AT91" s="222" t="str">
        <f t="shared" si="1"/>
        <v/>
      </c>
      <c r="AU91" s="206" t="s">
        <v>22</v>
      </c>
      <c r="AV91" s="206" t="s">
        <v>10</v>
      </c>
    </row>
    <row r="92" spans="1:48" ht="15.75" x14ac:dyDescent="0.25">
      <c r="A92" s="851"/>
      <c r="B92" s="1029"/>
      <c r="C92" s="861" t="s">
        <v>255</v>
      </c>
      <c r="D92" s="873" t="s">
        <v>296</v>
      </c>
      <c r="E92" s="890">
        <v>84603</v>
      </c>
      <c r="F92" s="898" t="s">
        <v>68</v>
      </c>
      <c r="G92" s="641"/>
      <c r="H92" s="392"/>
      <c r="I92" s="392"/>
      <c r="J92" s="392"/>
      <c r="K92" s="392"/>
      <c r="L92" s="392"/>
      <c r="M92" s="392"/>
      <c r="N92" s="635" t="str">
        <f>IF(IF($AT92&lt;&gt;"",VLOOKUP(CONCATENATE($AT92,$AU92,$AV92,$F92),'SKU Dist'!$E$2:$X$200,'SKU Dist'!H$1,FALSE),"")=0,"",IF($AT92&lt;&gt;"",VLOOKUP(CONCATENATE($AT92,$AU92,$AV92,$F92),'SKU Dist'!$E$2:$X$200,'SKU Dist'!H$1,FALSE),""))</f>
        <v/>
      </c>
      <c r="O92" s="635" t="str">
        <f>IF(IF($AT92&lt;&gt;"",VLOOKUP(CONCATENATE($AT92,$AU92,$AV92,$F92),'SKU Dist'!$E$2:$X$200,'SKU Dist'!I$1,FALSE),"")=0,"",IF($AT92&lt;&gt;"",VLOOKUP(CONCATENATE($AT92,$AU92,$AV92,$F92),'SKU Dist'!$E$2:$X$200,'SKU Dist'!I$1,FALSE),""))</f>
        <v/>
      </c>
      <c r="P92" s="635" t="str">
        <f>IF(IF($AT92&lt;&gt;"",VLOOKUP(CONCATENATE($AT92,$AU92,$AV92,$F92),'SKU Dist'!$E$2:$X$200,'SKU Dist'!J$1,FALSE),"")=0,"",IF($AT92&lt;&gt;"",VLOOKUP(CONCATENATE($AT92,$AU92,$AV92,$F92),'SKU Dist'!$E$2:$X$200,'SKU Dist'!J$1,FALSE),""))</f>
        <v/>
      </c>
      <c r="Q92" s="635" t="str">
        <f>IF(IF($AT92&lt;&gt;"",VLOOKUP(CONCATENATE($AT92,$AU92,$AV92,$F92),'SKU Dist'!$E$2:$X$200,'SKU Dist'!K$1,FALSE),"")=0,"",IF($AT92&lt;&gt;"",VLOOKUP(CONCATENATE($AT92,$AU92,$AV92,$F92),'SKU Dist'!$E$2:$X$200,'SKU Dist'!K$1,FALSE),""))</f>
        <v/>
      </c>
      <c r="R92" s="635" t="str">
        <f>IF(IF($AT92&lt;&gt;"",VLOOKUP(CONCATENATE($AT92,$AU92,$AV92,$F92),'SKU Dist'!$E$2:$X$200,'SKU Dist'!L$1,FALSE),"")=0,"",IF($AT92&lt;&gt;"",VLOOKUP(CONCATENATE($AT92,$AU92,$AV92,$F92),'SKU Dist'!$E$2:$X$200,'SKU Dist'!L$1,FALSE),""))</f>
        <v/>
      </c>
      <c r="S92" s="635" t="str">
        <f>IF(IF($AT92&lt;&gt;"",VLOOKUP(CONCATENATE($AT92,$AU92,$AV92,$F92),'SKU Dist'!$E$2:$X$200,'SKU Dist'!M$1,FALSE),"")=0,"",IF($AT92&lt;&gt;"",VLOOKUP(CONCATENATE($AT92,$AU92,$AV92,$F92),'SKU Dist'!$E$2:$X$200,'SKU Dist'!M$1,FALSE),""))</f>
        <v/>
      </c>
      <c r="T92" s="635" t="str">
        <f>IF(IF($AT92&lt;&gt;"",VLOOKUP(CONCATENATE($AT92,$AU92,$AV92,$F92),'SKU Dist'!$E$2:$X$200,'SKU Dist'!N$1,FALSE),"")=0,"",IF($AT92&lt;&gt;"",VLOOKUP(CONCATENATE($AT92,$AU92,$AV92,$F92),'SKU Dist'!$E$2:$X$200,'SKU Dist'!N$1,FALSE),""))</f>
        <v/>
      </c>
      <c r="U92" s="635" t="str">
        <f>IF(IF($AT92&lt;&gt;"",VLOOKUP(CONCATENATE($AT92,$AU92,$AV92,$F92),'SKU Dist'!$E$2:$X$200,'SKU Dist'!O$1,FALSE),"")=0,"",IF($AT92&lt;&gt;"",VLOOKUP(CONCATENATE($AT92,$AU92,$AV92,$F92),'SKU Dist'!$E$2:$X$200,'SKU Dist'!O$1,FALSE),""))</f>
        <v/>
      </c>
      <c r="V92" s="635" t="str">
        <f>IF(IF($AT92&lt;&gt;"",VLOOKUP(CONCATENATE($AT92,$AU92,$AV92,$F92),'SKU Dist'!$E$2:$X$200,'SKU Dist'!P$1,FALSE),"")=0,"",IF($AT92&lt;&gt;"",VLOOKUP(CONCATENATE($AT92,$AU92,$AV92,$F92),'SKU Dist'!$E$2:$X$200,'SKU Dist'!P$1,FALSE),""))</f>
        <v/>
      </c>
      <c r="W92" s="635" t="str">
        <f>IF(IF($AT92&lt;&gt;"",VLOOKUP(CONCATENATE($AT92,$AU92,$AV92,$F92),'SKU Dist'!$E$2:$X$200,'SKU Dist'!Q$1,FALSE),"")=0,"",IF($AT92&lt;&gt;"",VLOOKUP(CONCATENATE($AT92,$AU92,$AV92,$F92),'SKU Dist'!$E$2:$X$200,'SKU Dist'!Q$1,FALSE),""))</f>
        <v/>
      </c>
      <c r="X92" s="635" t="str">
        <f>IF(IF($AT92&lt;&gt;"",VLOOKUP(CONCATENATE($AT92,$AU92,$AV92,$F92),'SKU Dist'!$E$2:$X$200,'SKU Dist'!R$1,FALSE),"")=0,"",IF($AT92&lt;&gt;"",VLOOKUP(CONCATENATE($AT92,$AU92,$AV92,$F92),'SKU Dist'!$E$2:$X$200,'SKU Dist'!R$1,FALSE),""))</f>
        <v/>
      </c>
      <c r="Y92" s="635" t="str">
        <f>IF(IF($AT92&lt;&gt;"",VLOOKUP(CONCATENATE($AT92,$AU92,$AV92,$F92),'SKU Dist'!$E$2:$X$200,'SKU Dist'!S$1,FALSE),"")=0,"",IF($AT92&lt;&gt;"",VLOOKUP(CONCATENATE($AT92,$AU92,$AV92,$F92),'SKU Dist'!$E$2:$X$200,'SKU Dist'!S$1,FALSE),""))</f>
        <v/>
      </c>
      <c r="Z92" s="635" t="str">
        <f>IF(IF($AT92&lt;&gt;"",VLOOKUP(CONCATENATE($AT92,$AU92,$AV92,$F92),'SKU Dist'!$E$2:$X$200,'SKU Dist'!T$1,FALSE),"")=0,"",IF($AT92&lt;&gt;"",VLOOKUP(CONCATENATE($AT92,$AU92,$AV92,$F92),'SKU Dist'!$E$2:$X$200,'SKU Dist'!T$1,FALSE),""))</f>
        <v/>
      </c>
      <c r="AA92" s="635" t="str">
        <f>IF(IF($AT92&lt;&gt;"",VLOOKUP(CONCATENATE($AT92,$AU92,$AV92,$F92),'SKU Dist'!$E$2:$X$200,'SKU Dist'!U$1,FALSE),"")=0,"",IF($AT92&lt;&gt;"",VLOOKUP(CONCATENATE($AT92,$AU92,$AV92,$F92),'SKU Dist'!$E$2:$X$200,'SKU Dist'!U$1,FALSE),""))</f>
        <v/>
      </c>
      <c r="AB92" s="635" t="str">
        <f>IF(IF($AT92&lt;&gt;"",VLOOKUP(CONCATENATE($AT92,$AU92,$AV92,$F92),'SKU Dist'!$E$2:$X$200,'SKU Dist'!V$1,FALSE),"")=0,"",IF($AT92&lt;&gt;"",VLOOKUP(CONCATENATE($AT92,$AU92,$AV92,$F92),'SKU Dist'!$E$2:$X$200,'SKU Dist'!V$1,FALSE),""))</f>
        <v/>
      </c>
      <c r="AC92" s="635" t="str">
        <f>IF(IF($AT92&lt;&gt;"",VLOOKUP(CONCATENATE($AT92,$AU92,$AV92,$F92),'SKU Dist'!$E$2:$X$200,'SKU Dist'!W$1,FALSE),"")=0,"",IF($AT92&lt;&gt;"",VLOOKUP(CONCATENATE($AT92,$AU92,$AV92,$F92),'SKU Dist'!$E$2:$X$200,'SKU Dist'!W$1,FALSE),""))</f>
        <v/>
      </c>
      <c r="AD92" s="392"/>
      <c r="AE92" s="392"/>
      <c r="AF92" s="750"/>
      <c r="AG92" s="805">
        <f t="shared" ref="AG92" si="78">SUM(G92:AF92)</f>
        <v>0</v>
      </c>
      <c r="AH92" s="835">
        <v>70</v>
      </c>
      <c r="AI92" s="948">
        <f t="shared" si="62"/>
        <v>0</v>
      </c>
      <c r="AJ92" s="935"/>
      <c r="AT92" s="222" t="str">
        <f t="shared" ref="AT92:AT98" si="79">IF(E92=E91,AT91,IF(B92="","",B92))</f>
        <v/>
      </c>
      <c r="AU92" s="206" t="s">
        <v>22</v>
      </c>
      <c r="AV92" s="206" t="s">
        <v>10</v>
      </c>
    </row>
    <row r="93" spans="1:48" ht="15.75" x14ac:dyDescent="0.25">
      <c r="A93" s="851"/>
      <c r="B93" s="1031"/>
      <c r="C93" s="857" t="s">
        <v>255</v>
      </c>
      <c r="D93" s="868" t="s">
        <v>296</v>
      </c>
      <c r="E93" s="888">
        <v>84604</v>
      </c>
      <c r="F93" s="899" t="s">
        <v>35</v>
      </c>
      <c r="G93" s="641"/>
      <c r="H93" s="392"/>
      <c r="I93" s="392"/>
      <c r="J93" s="389"/>
      <c r="K93" s="389"/>
      <c r="L93" s="389" t="str">
        <f>IF(IF($AT93&lt;&gt;"",VLOOKUP(CONCATENATE($AT93,$AU93,$AV93,$F93),'SKU Dist'!$E$2:$X$200,'SKU Dist'!F$1,FALSE),"")=0,"",IF($AT93&lt;&gt;"",VLOOKUP(CONCATENATE($AT93,$AU93,$AV93,$F93),'SKU Dist'!$E$2:$X$200,'SKU Dist'!F$1,FALSE),""))</f>
        <v/>
      </c>
      <c r="M93" s="389" t="str">
        <f>IF(IF($AT93&lt;&gt;"",VLOOKUP(CONCATENATE($AT93,$AU93,$AV93,$F93),'SKU Dist'!$E$2:$X$200,'SKU Dist'!G$1,FALSE),"")=0,"",IF($AT93&lt;&gt;"",VLOOKUP(CONCATENATE($AT93,$AU93,$AV93,$F93),'SKU Dist'!$E$2:$X$200,'SKU Dist'!G$1,FALSE),""))</f>
        <v/>
      </c>
      <c r="N93" s="389" t="str">
        <f>IF(IF($AT93&lt;&gt;"",VLOOKUP(CONCATENATE($AT93,$AU93,$AV93,$F93),'SKU Dist'!$E$2:$X$200,'SKU Dist'!H$1,FALSE),"")=0,"",IF($AT93&lt;&gt;"",VLOOKUP(CONCATENATE($AT93,$AU93,$AV93,$F93),'SKU Dist'!$E$2:$X$200,'SKU Dist'!H$1,FALSE),""))</f>
        <v/>
      </c>
      <c r="O93" s="389" t="str">
        <f>IF(IF($AT93&lt;&gt;"",VLOOKUP(CONCATENATE($AT93,$AU93,$AV93,$F93),'SKU Dist'!$E$2:$X$200,'SKU Dist'!I$1,FALSE),"")=0,"",IF($AT93&lt;&gt;"",VLOOKUP(CONCATENATE($AT93,$AU93,$AV93,$F93),'SKU Dist'!$E$2:$X$200,'SKU Dist'!I$1,FALSE),""))</f>
        <v/>
      </c>
      <c r="P93" s="389" t="str">
        <f>IF(IF($AT93&lt;&gt;"",VLOOKUP(CONCATENATE($AT93,$AU93,$AV93,$F93),'SKU Dist'!$E$2:$X$200,'SKU Dist'!J$1,FALSE),"")=0,"",IF($AT93&lt;&gt;"",VLOOKUP(CONCATENATE($AT93,$AU93,$AV93,$F93),'SKU Dist'!$E$2:$X$200,'SKU Dist'!J$1,FALSE),""))</f>
        <v/>
      </c>
      <c r="Q93" s="389" t="str">
        <f>IF(IF($AT93&lt;&gt;"",VLOOKUP(CONCATENATE($AT93,$AU93,$AV93,$F93),'SKU Dist'!$E$2:$X$200,'SKU Dist'!K$1,FALSE),"")=0,"",IF($AT93&lt;&gt;"",VLOOKUP(CONCATENATE($AT93,$AU93,$AV93,$F93),'SKU Dist'!$E$2:$X$200,'SKU Dist'!K$1,FALSE),""))</f>
        <v/>
      </c>
      <c r="R93" s="389" t="str">
        <f>IF(IF($AT93&lt;&gt;"",VLOOKUP(CONCATENATE($AT93,$AU93,$AV93,$F93),'SKU Dist'!$E$2:$X$200,'SKU Dist'!L$1,FALSE),"")=0,"",IF($AT93&lt;&gt;"",VLOOKUP(CONCATENATE($AT93,$AU93,$AV93,$F93),'SKU Dist'!$E$2:$X$200,'SKU Dist'!L$1,FALSE),""))</f>
        <v/>
      </c>
      <c r="S93" s="389" t="str">
        <f>IF(IF($AT93&lt;&gt;"",VLOOKUP(CONCATENATE($AT93,$AU93,$AV93,$F93),'SKU Dist'!$E$2:$X$200,'SKU Dist'!M$1,FALSE),"")=0,"",IF($AT93&lt;&gt;"",VLOOKUP(CONCATENATE($AT93,$AU93,$AV93,$F93),'SKU Dist'!$E$2:$X$200,'SKU Dist'!M$1,FALSE),""))</f>
        <v/>
      </c>
      <c r="T93" s="389" t="str">
        <f>IF(IF($AT93&lt;&gt;"",VLOOKUP(CONCATENATE($AT93,$AU93,$AV93,$F93),'SKU Dist'!$E$2:$X$200,'SKU Dist'!N$1,FALSE),"")=0,"",IF($AT93&lt;&gt;"",VLOOKUP(CONCATENATE($AT93,$AU93,$AV93,$F93),'SKU Dist'!$E$2:$X$200,'SKU Dist'!N$1,FALSE),""))</f>
        <v/>
      </c>
      <c r="U93" s="389" t="str">
        <f>IF(IF($AT93&lt;&gt;"",VLOOKUP(CONCATENATE($AT93,$AU93,$AV93,$F93),'SKU Dist'!$E$2:$X$200,'SKU Dist'!O$1,FALSE),"")=0,"",IF($AT93&lt;&gt;"",VLOOKUP(CONCATENATE($AT93,$AU93,$AV93,$F93),'SKU Dist'!$E$2:$X$200,'SKU Dist'!O$1,FALSE),""))</f>
        <v/>
      </c>
      <c r="V93" s="389" t="str">
        <f>IF(IF($AT93&lt;&gt;"",VLOOKUP(CONCATENATE($AT93,$AU93,$AV93,$F93),'SKU Dist'!$E$2:$X$200,'SKU Dist'!P$1,FALSE),"")=0,"",IF($AT93&lt;&gt;"",VLOOKUP(CONCATENATE($AT93,$AU93,$AV93,$F93),'SKU Dist'!$E$2:$X$200,'SKU Dist'!P$1,FALSE),""))</f>
        <v/>
      </c>
      <c r="W93" s="389" t="str">
        <f>IF(IF($AT93&lt;&gt;"",VLOOKUP(CONCATENATE($AT93,$AU93,$AV93,$F93),'SKU Dist'!$E$2:$X$200,'SKU Dist'!Q$1,FALSE),"")=0,"",IF($AT93&lt;&gt;"",VLOOKUP(CONCATENATE($AT93,$AU93,$AV93,$F93),'SKU Dist'!$E$2:$X$200,'SKU Dist'!Q$1,FALSE),""))</f>
        <v/>
      </c>
      <c r="X93" s="389" t="str">
        <f>IF(IF($AT93&lt;&gt;"",VLOOKUP(CONCATENATE($AT93,$AU93,$AV93,$F93),'SKU Dist'!$E$2:$X$200,'SKU Dist'!R$1,FALSE),"")=0,"",IF($AT93&lt;&gt;"",VLOOKUP(CONCATENATE($AT93,$AU93,$AV93,$F93),'SKU Dist'!$E$2:$X$200,'SKU Dist'!R$1,FALSE),""))</f>
        <v/>
      </c>
      <c r="Y93" s="389" t="str">
        <f>IF(IF($AT93&lt;&gt;"",VLOOKUP(CONCATENATE($AT93,$AU93,$AV93,$F93),'SKU Dist'!$E$2:$X$200,'SKU Dist'!S$1,FALSE),"")=0,"",IF($AT93&lt;&gt;"",VLOOKUP(CONCATENATE($AT93,$AU93,$AV93,$F93),'SKU Dist'!$E$2:$X$200,'SKU Dist'!S$1,FALSE),""))</f>
        <v/>
      </c>
      <c r="Z93" s="389" t="str">
        <f>IF(IF($AT93&lt;&gt;"",VLOOKUP(CONCATENATE($AT93,$AU93,$AV93,$F93),'SKU Dist'!$E$2:$X$200,'SKU Dist'!T$1,FALSE),"")=0,"",IF($AT93&lt;&gt;"",VLOOKUP(CONCATENATE($AT93,$AU93,$AV93,$F93),'SKU Dist'!$E$2:$X$200,'SKU Dist'!T$1,FALSE),""))</f>
        <v/>
      </c>
      <c r="AA93" s="389" t="str">
        <f>IF(IF($AT93&lt;&gt;"",VLOOKUP(CONCATENATE($AT93,$AU93,$AV93,$F93),'SKU Dist'!$E$2:$X$200,'SKU Dist'!U$1,FALSE),"")=0,"",IF($AT93&lt;&gt;"",VLOOKUP(CONCATENATE($AT93,$AU93,$AV93,$F93),'SKU Dist'!$E$2:$X$200,'SKU Dist'!U$1,FALSE),""))</f>
        <v/>
      </c>
      <c r="AB93" s="389" t="str">
        <f>IF(IF($AT93&lt;&gt;"",VLOOKUP(CONCATENATE($AT93,$AU93,$AV93,$F93),'SKU Dist'!$E$2:$X$200,'SKU Dist'!V$1,FALSE),"")=0,"",IF($AT93&lt;&gt;"",VLOOKUP(CONCATENATE($AT93,$AU93,$AV93,$F93),'SKU Dist'!$E$2:$X$200,'SKU Dist'!V$1,FALSE),""))</f>
        <v/>
      </c>
      <c r="AC93" s="389" t="str">
        <f>IF(IF($AT93&lt;&gt;"",VLOOKUP(CONCATENATE($AT93,$AU93,$AV93,$F93),'SKU Dist'!$E$2:$X$200,'SKU Dist'!W$1,FALSE),"")=0,"",IF($AT93&lt;&gt;"",VLOOKUP(CONCATENATE($AT93,$AU93,$AV93,$F93),'SKU Dist'!$E$2:$X$200,'SKU Dist'!W$1,FALSE),""))</f>
        <v/>
      </c>
      <c r="AD93" s="392"/>
      <c r="AE93" s="392"/>
      <c r="AF93" s="750"/>
      <c r="AG93" s="804">
        <f t="shared" ref="AG93:AG94" si="80">SUM(G93:AF93)</f>
        <v>0</v>
      </c>
      <c r="AH93" s="816">
        <v>75</v>
      </c>
      <c r="AI93" s="943">
        <f t="shared" si="62"/>
        <v>0</v>
      </c>
      <c r="AJ93" s="932"/>
      <c r="AT93" s="222" t="str">
        <f t="shared" si="79"/>
        <v/>
      </c>
      <c r="AU93" s="206" t="s">
        <v>22</v>
      </c>
      <c r="AV93" s="206" t="s">
        <v>10</v>
      </c>
    </row>
    <row r="94" spans="1:48" ht="16.5" thickBot="1" x14ac:dyDescent="0.3">
      <c r="A94" s="851"/>
      <c r="B94" s="1033"/>
      <c r="C94" s="858" t="s">
        <v>255</v>
      </c>
      <c r="D94" s="869" t="s">
        <v>296</v>
      </c>
      <c r="E94" s="893">
        <v>84604</v>
      </c>
      <c r="F94" s="889" t="s">
        <v>68</v>
      </c>
      <c r="G94" s="645"/>
      <c r="H94" s="632"/>
      <c r="I94" s="632"/>
      <c r="J94" s="632"/>
      <c r="K94" s="632"/>
      <c r="L94" s="632"/>
      <c r="M94" s="632"/>
      <c r="N94" s="779" t="str">
        <f>IF(IF($AT94&lt;&gt;"",VLOOKUP(CONCATENATE($AT94,$AU94,$AV94,$F94),'SKU Dist'!$E$2:$X$200,'SKU Dist'!H$1,FALSE),"")=0,"",IF($AT94&lt;&gt;"",VLOOKUP(CONCATENATE($AT94,$AU94,$AV94,$F94),'SKU Dist'!$E$2:$X$200,'SKU Dist'!H$1,FALSE),""))</f>
        <v/>
      </c>
      <c r="O94" s="779" t="str">
        <f>IF(IF($AT94&lt;&gt;"",VLOOKUP(CONCATENATE($AT94,$AU94,$AV94,$F94),'SKU Dist'!$E$2:$X$200,'SKU Dist'!I$1,FALSE),"")=0,"",IF($AT94&lt;&gt;"",VLOOKUP(CONCATENATE($AT94,$AU94,$AV94,$F94),'SKU Dist'!$E$2:$X$200,'SKU Dist'!I$1,FALSE),""))</f>
        <v/>
      </c>
      <c r="P94" s="779" t="str">
        <f>IF(IF($AT94&lt;&gt;"",VLOOKUP(CONCATENATE($AT94,$AU94,$AV94,$F94),'SKU Dist'!$E$2:$X$200,'SKU Dist'!J$1,FALSE),"")=0,"",IF($AT94&lt;&gt;"",VLOOKUP(CONCATENATE($AT94,$AU94,$AV94,$F94),'SKU Dist'!$E$2:$X$200,'SKU Dist'!J$1,FALSE),""))</f>
        <v/>
      </c>
      <c r="Q94" s="779" t="str">
        <f>IF(IF($AT94&lt;&gt;"",VLOOKUP(CONCATENATE($AT94,$AU94,$AV94,$F94),'SKU Dist'!$E$2:$X$200,'SKU Dist'!K$1,FALSE),"")=0,"",IF($AT94&lt;&gt;"",VLOOKUP(CONCATENATE($AT94,$AU94,$AV94,$F94),'SKU Dist'!$E$2:$X$200,'SKU Dist'!K$1,FALSE),""))</f>
        <v/>
      </c>
      <c r="R94" s="779" t="str">
        <f>IF(IF($AT94&lt;&gt;"",VLOOKUP(CONCATENATE($AT94,$AU94,$AV94,$F94),'SKU Dist'!$E$2:$X$200,'SKU Dist'!L$1,FALSE),"")=0,"",IF($AT94&lt;&gt;"",VLOOKUP(CONCATENATE($AT94,$AU94,$AV94,$F94),'SKU Dist'!$E$2:$X$200,'SKU Dist'!L$1,FALSE),""))</f>
        <v/>
      </c>
      <c r="S94" s="779" t="str">
        <f>IF(IF($AT94&lt;&gt;"",VLOOKUP(CONCATENATE($AT94,$AU94,$AV94,$F94),'SKU Dist'!$E$2:$X$200,'SKU Dist'!M$1,FALSE),"")=0,"",IF($AT94&lt;&gt;"",VLOOKUP(CONCATENATE($AT94,$AU94,$AV94,$F94),'SKU Dist'!$E$2:$X$200,'SKU Dist'!M$1,FALSE),""))</f>
        <v/>
      </c>
      <c r="T94" s="779" t="str">
        <f>IF(IF($AT94&lt;&gt;"",VLOOKUP(CONCATENATE($AT94,$AU94,$AV94,$F94),'SKU Dist'!$E$2:$X$200,'SKU Dist'!N$1,FALSE),"")=0,"",IF($AT94&lt;&gt;"",VLOOKUP(CONCATENATE($AT94,$AU94,$AV94,$F94),'SKU Dist'!$E$2:$X$200,'SKU Dist'!N$1,FALSE),""))</f>
        <v/>
      </c>
      <c r="U94" s="779" t="str">
        <f>IF(IF($AT94&lt;&gt;"",VLOOKUP(CONCATENATE($AT94,$AU94,$AV94,$F94),'SKU Dist'!$E$2:$X$200,'SKU Dist'!O$1,FALSE),"")=0,"",IF($AT94&lt;&gt;"",VLOOKUP(CONCATENATE($AT94,$AU94,$AV94,$F94),'SKU Dist'!$E$2:$X$200,'SKU Dist'!O$1,FALSE),""))</f>
        <v/>
      </c>
      <c r="V94" s="779" t="str">
        <f>IF(IF($AT94&lt;&gt;"",VLOOKUP(CONCATENATE($AT94,$AU94,$AV94,$F94),'SKU Dist'!$E$2:$X$200,'SKU Dist'!P$1,FALSE),"")=0,"",IF($AT94&lt;&gt;"",VLOOKUP(CONCATENATE($AT94,$AU94,$AV94,$F94),'SKU Dist'!$E$2:$X$200,'SKU Dist'!P$1,FALSE),""))</f>
        <v/>
      </c>
      <c r="W94" s="779" t="str">
        <f>IF(IF($AT94&lt;&gt;"",VLOOKUP(CONCATENATE($AT94,$AU94,$AV94,$F94),'SKU Dist'!$E$2:$X$200,'SKU Dist'!Q$1,FALSE),"")=0,"",IF($AT94&lt;&gt;"",VLOOKUP(CONCATENATE($AT94,$AU94,$AV94,$F94),'SKU Dist'!$E$2:$X$200,'SKU Dist'!Q$1,FALSE),""))</f>
        <v/>
      </c>
      <c r="X94" s="779" t="str">
        <f>IF(IF($AT94&lt;&gt;"",VLOOKUP(CONCATENATE($AT94,$AU94,$AV94,$F94),'SKU Dist'!$E$2:$X$200,'SKU Dist'!R$1,FALSE),"")=0,"",IF($AT94&lt;&gt;"",VLOOKUP(CONCATENATE($AT94,$AU94,$AV94,$F94),'SKU Dist'!$E$2:$X$200,'SKU Dist'!R$1,FALSE),""))</f>
        <v/>
      </c>
      <c r="Y94" s="779" t="str">
        <f>IF(IF($AT94&lt;&gt;"",VLOOKUP(CONCATENATE($AT94,$AU94,$AV94,$F94),'SKU Dist'!$E$2:$X$200,'SKU Dist'!S$1,FALSE),"")=0,"",IF($AT94&lt;&gt;"",VLOOKUP(CONCATENATE($AT94,$AU94,$AV94,$F94),'SKU Dist'!$E$2:$X$200,'SKU Dist'!S$1,FALSE),""))</f>
        <v/>
      </c>
      <c r="Z94" s="779" t="str">
        <f>IF(IF($AT94&lt;&gt;"",VLOOKUP(CONCATENATE($AT94,$AU94,$AV94,$F94),'SKU Dist'!$E$2:$X$200,'SKU Dist'!T$1,FALSE),"")=0,"",IF($AT94&lt;&gt;"",VLOOKUP(CONCATENATE($AT94,$AU94,$AV94,$F94),'SKU Dist'!$E$2:$X$200,'SKU Dist'!T$1,FALSE),""))</f>
        <v/>
      </c>
      <c r="AA94" s="779" t="str">
        <f>IF(IF($AT94&lt;&gt;"",VLOOKUP(CONCATENATE($AT94,$AU94,$AV94,$F94),'SKU Dist'!$E$2:$X$200,'SKU Dist'!U$1,FALSE),"")=0,"",IF($AT94&lt;&gt;"",VLOOKUP(CONCATENATE($AT94,$AU94,$AV94,$F94),'SKU Dist'!$E$2:$X$200,'SKU Dist'!U$1,FALSE),""))</f>
        <v/>
      </c>
      <c r="AB94" s="779" t="str">
        <f>IF(IF($AT94&lt;&gt;"",VLOOKUP(CONCATENATE($AT94,$AU94,$AV94,$F94),'SKU Dist'!$E$2:$X$200,'SKU Dist'!V$1,FALSE),"")=0,"",IF($AT94&lt;&gt;"",VLOOKUP(CONCATENATE($AT94,$AU94,$AV94,$F94),'SKU Dist'!$E$2:$X$200,'SKU Dist'!V$1,FALSE),""))</f>
        <v/>
      </c>
      <c r="AC94" s="779" t="str">
        <f>IF(IF($AT94&lt;&gt;"",VLOOKUP(CONCATENATE($AT94,$AU94,$AV94,$F94),'SKU Dist'!$E$2:$X$200,'SKU Dist'!W$1,FALSE),"")=0,"",IF($AT94&lt;&gt;"",VLOOKUP(CONCATENATE($AT94,$AU94,$AV94,$F94),'SKU Dist'!$E$2:$X$200,'SKU Dist'!W$1,FALSE),""))</f>
        <v/>
      </c>
      <c r="AD94" s="632"/>
      <c r="AE94" s="632"/>
      <c r="AF94" s="852"/>
      <c r="AG94" s="808">
        <f t="shared" si="80"/>
        <v>0</v>
      </c>
      <c r="AH94" s="853">
        <v>75</v>
      </c>
      <c r="AI94" s="944">
        <f t="shared" si="62"/>
        <v>0</v>
      </c>
      <c r="AJ94" s="940"/>
      <c r="AT94" s="222" t="str">
        <f t="shared" si="79"/>
        <v/>
      </c>
      <c r="AU94" s="206" t="s">
        <v>22</v>
      </c>
      <c r="AV94" s="206" t="s">
        <v>10</v>
      </c>
    </row>
    <row r="95" spans="1:48" ht="15.75" x14ac:dyDescent="0.25">
      <c r="A95" s="629" t="s">
        <v>71</v>
      </c>
      <c r="B95" s="1030"/>
      <c r="C95" s="860" t="s">
        <v>255</v>
      </c>
      <c r="D95" s="871" t="s">
        <v>296</v>
      </c>
      <c r="E95" s="894">
        <v>83892</v>
      </c>
      <c r="F95" s="895" t="s">
        <v>35</v>
      </c>
      <c r="G95" s="640"/>
      <c r="H95" s="431"/>
      <c r="I95" s="431"/>
      <c r="J95" s="431"/>
      <c r="K95" s="431"/>
      <c r="L95" s="431"/>
      <c r="M95" s="431"/>
      <c r="N95" s="443" t="str">
        <f>IF(IF($AT95&lt;&gt;"",VLOOKUP(CONCATENATE($AT95,$AU95,$AV95,$F95),'SKU Dist'!$E$2:$X$200,'SKU Dist'!H$1,FALSE),"")=0,"",IF($AT95&lt;&gt;"",VLOOKUP(CONCATENATE($AT95,$AU95,$AV95,$F95),'SKU Dist'!$E$2:$X$200,'SKU Dist'!H$1,FALSE),""))</f>
        <v/>
      </c>
      <c r="O95" s="637" t="str">
        <f>IF(IF($AT95&lt;&gt;"",VLOOKUP(CONCATENATE($AT95,$AU95,$AV95,$F95),'SKU Dist'!$E$2:$X$200,'SKU Dist'!I$1,FALSE),"")=0,"",IF($AT95&lt;&gt;"",VLOOKUP(CONCATENATE($AT95,$AU95,$AV95,$F95),'SKU Dist'!$E$2:$X$200,'SKU Dist'!I$1,FALSE),""))</f>
        <v/>
      </c>
      <c r="P95" s="637" t="str">
        <f>IF(IF($AT95&lt;&gt;"",VLOOKUP(CONCATENATE($AT95,$AU95,$AV95,$F95),'SKU Dist'!$E$2:$X$200,'SKU Dist'!J$1,FALSE),"")=0,"",IF($AT95&lt;&gt;"",VLOOKUP(CONCATENATE($AT95,$AU95,$AV95,$F95),'SKU Dist'!$E$2:$X$200,'SKU Dist'!J$1,FALSE),""))</f>
        <v/>
      </c>
      <c r="Q95" s="637" t="str">
        <f>IF(IF($AT95&lt;&gt;"",VLOOKUP(CONCATENATE($AT95,$AU95,$AV95,$F95),'SKU Dist'!$E$2:$X$200,'SKU Dist'!K$1,FALSE),"")=0,"",IF($AT95&lt;&gt;"",VLOOKUP(CONCATENATE($AT95,$AU95,$AV95,$F95),'SKU Dist'!$E$2:$X$200,'SKU Dist'!K$1,FALSE),""))</f>
        <v/>
      </c>
      <c r="R95" s="637" t="str">
        <f>IF(IF($AT95&lt;&gt;"",VLOOKUP(CONCATENATE($AT95,$AU95,$AV95,$F95),'SKU Dist'!$E$2:$X$200,'SKU Dist'!L$1,FALSE),"")=0,"",IF($AT95&lt;&gt;"",VLOOKUP(CONCATENATE($AT95,$AU95,$AV95,$F95),'SKU Dist'!$E$2:$X$200,'SKU Dist'!L$1,FALSE),""))</f>
        <v/>
      </c>
      <c r="S95" s="637" t="str">
        <f>IF(IF($AT95&lt;&gt;"",VLOOKUP(CONCATENATE($AT95,$AU95,$AV95,$F95),'SKU Dist'!$E$2:$X$200,'SKU Dist'!M$1,FALSE),"")=0,"",IF($AT95&lt;&gt;"",VLOOKUP(CONCATENATE($AT95,$AU95,$AV95,$F95),'SKU Dist'!$E$2:$X$200,'SKU Dist'!M$1,FALSE),""))</f>
        <v/>
      </c>
      <c r="T95" s="637" t="str">
        <f>IF(IF($AT95&lt;&gt;"",VLOOKUP(CONCATENATE($AT95,$AU95,$AV95,$F95),'SKU Dist'!$E$2:$X$200,'SKU Dist'!N$1,FALSE),"")=0,"",IF($AT95&lt;&gt;"",VLOOKUP(CONCATENATE($AT95,$AU95,$AV95,$F95),'SKU Dist'!$E$2:$X$200,'SKU Dist'!N$1,FALSE),""))</f>
        <v/>
      </c>
      <c r="U95" s="637" t="str">
        <f>IF(IF($AT95&lt;&gt;"",VLOOKUP(CONCATENATE($AT95,$AU95,$AV95,$F95),'SKU Dist'!$E$2:$X$200,'SKU Dist'!O$1,FALSE),"")=0,"",IF($AT95&lt;&gt;"",VLOOKUP(CONCATENATE($AT95,$AU95,$AV95,$F95),'SKU Dist'!$E$2:$X$200,'SKU Dist'!O$1,FALSE),""))</f>
        <v/>
      </c>
      <c r="V95" s="637" t="str">
        <f>IF(IF($AT95&lt;&gt;"",VLOOKUP(CONCATENATE($AT95,$AU95,$AV95,$F95),'SKU Dist'!$E$2:$X$200,'SKU Dist'!P$1,FALSE),"")=0,"",IF($AT95&lt;&gt;"",VLOOKUP(CONCATENATE($AT95,$AU95,$AV95,$F95),'SKU Dist'!$E$2:$X$200,'SKU Dist'!P$1,FALSE),""))</f>
        <v/>
      </c>
      <c r="W95" s="637" t="str">
        <f>IF(IF($AT95&lt;&gt;"",VLOOKUP(CONCATENATE($AT95,$AU95,$AV95,$F95),'SKU Dist'!$E$2:$X$200,'SKU Dist'!Q$1,FALSE),"")=0,"",IF($AT95&lt;&gt;"",VLOOKUP(CONCATENATE($AT95,$AU95,$AV95,$F95),'SKU Dist'!$E$2:$X$200,'SKU Dist'!Q$1,FALSE),""))</f>
        <v/>
      </c>
      <c r="X95" s="637" t="str">
        <f>IF(IF($AT95&lt;&gt;"",VLOOKUP(CONCATENATE($AT95,$AU95,$AV95,$F95),'SKU Dist'!$E$2:$X$200,'SKU Dist'!R$1,FALSE),"")=0,"",IF($AT95&lt;&gt;"",VLOOKUP(CONCATENATE($AT95,$AU95,$AV95,$F95),'SKU Dist'!$E$2:$X$200,'SKU Dist'!R$1,FALSE),""))</f>
        <v/>
      </c>
      <c r="Y95" s="637" t="str">
        <f>IF(IF($AT95&lt;&gt;"",VLOOKUP(CONCATENATE($AT95,$AU95,$AV95,$F95),'SKU Dist'!$E$2:$X$200,'SKU Dist'!S$1,FALSE),"")=0,"",IF($AT95&lt;&gt;"",VLOOKUP(CONCATENATE($AT95,$AU95,$AV95,$F95),'SKU Dist'!$E$2:$X$200,'SKU Dist'!S$1,FALSE),""))</f>
        <v/>
      </c>
      <c r="Z95" s="637" t="str">
        <f>IF(IF($AT95&lt;&gt;"",VLOOKUP(CONCATENATE($AT95,$AU95,$AV95,$F95),'SKU Dist'!$E$2:$X$200,'SKU Dist'!T$1,FALSE),"")=0,"",IF($AT95&lt;&gt;"",VLOOKUP(CONCATENATE($AT95,$AU95,$AV95,$F95),'SKU Dist'!$E$2:$X$200,'SKU Dist'!T$1,FALSE),""))</f>
        <v/>
      </c>
      <c r="AA95" s="637" t="str">
        <f>IF(IF($AT95&lt;&gt;"",VLOOKUP(CONCATENATE($AT95,$AU95,$AV95,$F95),'SKU Dist'!$E$2:$X$200,'SKU Dist'!U$1,FALSE),"")=0,"",IF($AT95&lt;&gt;"",VLOOKUP(CONCATENATE($AT95,$AU95,$AV95,$F95),'SKU Dist'!$E$2:$X$200,'SKU Dist'!U$1,FALSE),""))</f>
        <v/>
      </c>
      <c r="AB95" s="637" t="str">
        <f>IF(IF($AT95&lt;&gt;"",VLOOKUP(CONCATENATE($AT95,$AU95,$AV95,$F95),'SKU Dist'!$E$2:$X$200,'SKU Dist'!V$1,FALSE),"")=0,"",IF($AT95&lt;&gt;"",VLOOKUP(CONCATENATE($AT95,$AU95,$AV95,$F95),'SKU Dist'!$E$2:$X$200,'SKU Dist'!V$1,FALSE),""))</f>
        <v/>
      </c>
      <c r="AC95" s="637" t="str">
        <f>IF(IF($AT95&lt;&gt;"",VLOOKUP(CONCATENATE($AT95,$AU95,$AV95,$F95),'SKU Dist'!$E$2:$X$200,'SKU Dist'!W$1,FALSE),"")=0,"",IF($AT95&lt;&gt;"",VLOOKUP(CONCATENATE($AT95,$AU95,$AV95,$F95),'SKU Dist'!$E$2:$X$200,'SKU Dist'!W$1,FALSE),""))</f>
        <v/>
      </c>
      <c r="AD95" s="431"/>
      <c r="AE95" s="431"/>
      <c r="AF95" s="431"/>
      <c r="AG95" s="842">
        <f t="shared" ref="AG95" si="81">SUM(G95:AF95)</f>
        <v>0</v>
      </c>
      <c r="AH95" s="813">
        <v>140</v>
      </c>
      <c r="AI95" s="946">
        <f t="shared" ref="AI95:AI96" si="82">AG95*AH95</f>
        <v>0</v>
      </c>
      <c r="AJ95" s="930"/>
      <c r="AT95" s="222" t="str">
        <f t="shared" si="79"/>
        <v/>
      </c>
      <c r="AU95" s="206" t="s">
        <v>22</v>
      </c>
      <c r="AV95" s="206" t="s">
        <v>10</v>
      </c>
    </row>
    <row r="96" spans="1:48" ht="16.5" thickBot="1" x14ac:dyDescent="0.3">
      <c r="A96" s="850" t="s">
        <v>277</v>
      </c>
      <c r="B96" s="1029"/>
      <c r="C96" s="861" t="s">
        <v>255</v>
      </c>
      <c r="D96" s="873" t="s">
        <v>296</v>
      </c>
      <c r="E96" s="890">
        <v>83892</v>
      </c>
      <c r="F96" s="898" t="s">
        <v>68</v>
      </c>
      <c r="G96" s="641"/>
      <c r="H96" s="392"/>
      <c r="I96" s="392"/>
      <c r="J96" s="392"/>
      <c r="K96" s="392"/>
      <c r="L96" s="392"/>
      <c r="M96" s="392"/>
      <c r="N96" s="392"/>
      <c r="O96" s="433"/>
      <c r="P96" s="635" t="str">
        <f>IF(IF($AT96&lt;&gt;"",VLOOKUP(CONCATENATE($AT96,$AU96,$AV96,$F96),'SKU Dist'!$E$2:$X$200,'SKU Dist'!J$1,FALSE),"")=0,"",IF($AT96&lt;&gt;"",VLOOKUP(CONCATENATE($AT96,$AU96,$AV96,$F96),'SKU Dist'!$E$2:$X$200,'SKU Dist'!J$1,FALSE),""))</f>
        <v/>
      </c>
      <c r="Q96" s="635" t="str">
        <f>IF(IF($AT96&lt;&gt;"",VLOOKUP(CONCATENATE($AT96,$AU96,$AV96,$F96),'SKU Dist'!$E$2:$X$200,'SKU Dist'!K$1,FALSE),"")=0,"",IF($AT96&lt;&gt;"",VLOOKUP(CONCATENATE($AT96,$AU96,$AV96,$F96),'SKU Dist'!$E$2:$X$200,'SKU Dist'!K$1,FALSE),""))</f>
        <v/>
      </c>
      <c r="R96" s="635" t="str">
        <f>IF(IF($AT96&lt;&gt;"",VLOOKUP(CONCATENATE($AT96,$AU96,$AV96,$F96),'SKU Dist'!$E$2:$X$200,'SKU Dist'!L$1,FALSE),"")=0,"",IF($AT96&lt;&gt;"",VLOOKUP(CONCATENATE($AT96,$AU96,$AV96,$F96),'SKU Dist'!$E$2:$X$200,'SKU Dist'!L$1,FALSE),""))</f>
        <v/>
      </c>
      <c r="S96" s="635" t="str">
        <f>IF(IF($AT96&lt;&gt;"",VLOOKUP(CONCATENATE($AT96,$AU96,$AV96,$F96),'SKU Dist'!$E$2:$X$200,'SKU Dist'!M$1,FALSE),"")=0,"",IF($AT96&lt;&gt;"",VLOOKUP(CONCATENATE($AT96,$AU96,$AV96,$F96),'SKU Dist'!$E$2:$X$200,'SKU Dist'!M$1,FALSE),""))</f>
        <v/>
      </c>
      <c r="T96" s="635" t="str">
        <f>IF(IF($AT96&lt;&gt;"",VLOOKUP(CONCATENATE($AT96,$AU96,$AV96,$F96),'SKU Dist'!$E$2:$X$200,'SKU Dist'!N$1,FALSE),"")=0,"",IF($AT96&lt;&gt;"",VLOOKUP(CONCATENATE($AT96,$AU96,$AV96,$F96),'SKU Dist'!$E$2:$X$200,'SKU Dist'!N$1,FALSE),""))</f>
        <v/>
      </c>
      <c r="U96" s="635" t="str">
        <f>IF(IF($AT96&lt;&gt;"",VLOOKUP(CONCATENATE($AT96,$AU96,$AV96,$F96),'SKU Dist'!$E$2:$X$200,'SKU Dist'!O$1,FALSE),"")=0,"",IF($AT96&lt;&gt;"",VLOOKUP(CONCATENATE($AT96,$AU96,$AV96,$F96),'SKU Dist'!$E$2:$X$200,'SKU Dist'!O$1,FALSE),""))</f>
        <v/>
      </c>
      <c r="V96" s="635" t="str">
        <f>IF(IF($AT96&lt;&gt;"",VLOOKUP(CONCATENATE($AT96,$AU96,$AV96,$F96),'SKU Dist'!$E$2:$X$200,'SKU Dist'!P$1,FALSE),"")=0,"",IF($AT96&lt;&gt;"",VLOOKUP(CONCATENATE($AT96,$AU96,$AV96,$F96),'SKU Dist'!$E$2:$X$200,'SKU Dist'!P$1,FALSE),""))</f>
        <v/>
      </c>
      <c r="W96" s="635" t="str">
        <f>IF(IF($AT96&lt;&gt;"",VLOOKUP(CONCATENATE($AT96,$AU96,$AV96,$F96),'SKU Dist'!$E$2:$X$200,'SKU Dist'!Q$1,FALSE),"")=0,"",IF($AT96&lt;&gt;"",VLOOKUP(CONCATENATE($AT96,$AU96,$AV96,$F96),'SKU Dist'!$E$2:$X$200,'SKU Dist'!Q$1,FALSE),""))</f>
        <v/>
      </c>
      <c r="X96" s="635" t="str">
        <f>IF(IF($AT96&lt;&gt;"",VLOOKUP(CONCATENATE($AT96,$AU96,$AV96,$F96),'SKU Dist'!$E$2:$X$200,'SKU Dist'!R$1,FALSE),"")=0,"",IF($AT96&lt;&gt;"",VLOOKUP(CONCATENATE($AT96,$AU96,$AV96,$F96),'SKU Dist'!$E$2:$X$200,'SKU Dist'!R$1,FALSE),""))</f>
        <v/>
      </c>
      <c r="Y96" s="635" t="str">
        <f>IF(IF($AT96&lt;&gt;"",VLOOKUP(CONCATENATE($AT96,$AU96,$AV96,$F96),'SKU Dist'!$E$2:$X$200,'SKU Dist'!S$1,FALSE),"")=0,"",IF($AT96&lt;&gt;"",VLOOKUP(CONCATENATE($AT96,$AU96,$AV96,$F96),'SKU Dist'!$E$2:$X$200,'SKU Dist'!S$1,FALSE),""))</f>
        <v/>
      </c>
      <c r="Z96" s="635" t="str">
        <f>IF(IF($AT96&lt;&gt;"",VLOOKUP(CONCATENATE($AT96,$AU96,$AV96,$F96),'SKU Dist'!$E$2:$X$200,'SKU Dist'!T$1,FALSE),"")=0,"",IF($AT96&lt;&gt;"",VLOOKUP(CONCATENATE($AT96,$AU96,$AV96,$F96),'SKU Dist'!$E$2:$X$200,'SKU Dist'!T$1,FALSE),""))</f>
        <v/>
      </c>
      <c r="AA96" s="635" t="str">
        <f>IF(IF($AT96&lt;&gt;"",VLOOKUP(CONCATENATE($AT96,$AU96,$AV96,$F96),'SKU Dist'!$E$2:$X$200,'SKU Dist'!U$1,FALSE),"")=0,"",IF($AT96&lt;&gt;"",VLOOKUP(CONCATENATE($AT96,$AU96,$AV96,$F96),'SKU Dist'!$E$2:$X$200,'SKU Dist'!U$1,FALSE),""))</f>
        <v/>
      </c>
      <c r="AB96" s="635" t="str">
        <f>IF(IF($AT96&lt;&gt;"",VLOOKUP(CONCATENATE($AT96,$AU96,$AV96,$F96),'SKU Dist'!$E$2:$X$200,'SKU Dist'!V$1,FALSE),"")=0,"",IF($AT96&lt;&gt;"",VLOOKUP(CONCATENATE($AT96,$AU96,$AV96,$F96),'SKU Dist'!$E$2:$X$200,'SKU Dist'!V$1,FALSE),""))</f>
        <v/>
      </c>
      <c r="AC96" s="392"/>
      <c r="AD96" s="392"/>
      <c r="AE96" s="392"/>
      <c r="AF96" s="392"/>
      <c r="AG96" s="803">
        <f t="shared" ref="AG96" si="83">SUM(G96:AF96)</f>
        <v>0</v>
      </c>
      <c r="AH96" s="835">
        <v>140</v>
      </c>
      <c r="AI96" s="948">
        <f t="shared" si="82"/>
        <v>0</v>
      </c>
      <c r="AJ96" s="935"/>
      <c r="AT96" s="222" t="str">
        <f t="shared" si="79"/>
        <v/>
      </c>
      <c r="AU96" s="206" t="s">
        <v>22</v>
      </c>
      <c r="AV96" s="206" t="s">
        <v>10</v>
      </c>
    </row>
    <row r="97" spans="1:48" ht="15.75" x14ac:dyDescent="0.25">
      <c r="A97" s="382">
        <f>SUM(AG95:AG98)</f>
        <v>19</v>
      </c>
      <c r="B97" s="1031"/>
      <c r="C97" s="857" t="s">
        <v>255</v>
      </c>
      <c r="D97" s="868" t="s">
        <v>296</v>
      </c>
      <c r="E97" s="888">
        <v>84670</v>
      </c>
      <c r="F97" s="887" t="s">
        <v>35</v>
      </c>
      <c r="G97" s="641"/>
      <c r="H97" s="392"/>
      <c r="I97" s="392"/>
      <c r="J97" s="392"/>
      <c r="K97" s="392"/>
      <c r="L97" s="392"/>
      <c r="M97" s="392"/>
      <c r="N97" s="389" t="str">
        <f>IF(IF($AT97&lt;&gt;"",VLOOKUP(CONCATENATE($AT97,$AU97,$AV97,$F97),'SKU Dist'!$E$2:$X$200,'SKU Dist'!H$1,FALSE),"")=0,"",IF($AT97&lt;&gt;"",VLOOKUP(CONCATENATE($AT97,$AU97,$AV97,$F97),'SKU Dist'!$E$2:$X$200,'SKU Dist'!H$1,FALSE),""))</f>
        <v/>
      </c>
      <c r="O97" s="389" t="str">
        <f>IF(IF($AT97&lt;&gt;"",VLOOKUP(CONCATENATE($AT97,$AU97,$AV97,$F97),'SKU Dist'!$E$2:$X$200,'SKU Dist'!I$1,FALSE),"")=0,"",IF($AT97&lt;&gt;"",VLOOKUP(CONCATENATE($AT97,$AU97,$AV97,$F97),'SKU Dist'!$E$2:$X$200,'SKU Dist'!I$1,FALSE),""))</f>
        <v/>
      </c>
      <c r="P97" s="389" t="str">
        <f>IF(IF($AT97&lt;&gt;"",VLOOKUP(CONCATENATE($AT97,$AU97,$AV97,$F97),'SKU Dist'!$E$2:$X$200,'SKU Dist'!J$1,FALSE),"")=0,"",IF($AT97&lt;&gt;"",VLOOKUP(CONCATENATE($AT97,$AU97,$AV97,$F97),'SKU Dist'!$E$2:$X$200,'SKU Dist'!J$1,FALSE),""))</f>
        <v/>
      </c>
      <c r="Q97" s="389" t="str">
        <f>IF(IF($AT97&lt;&gt;"",VLOOKUP(CONCATENATE($AT97,$AU97,$AV97,$F97),'SKU Dist'!$E$2:$X$200,'SKU Dist'!K$1,FALSE),"")=0,"",IF($AT97&lt;&gt;"",VLOOKUP(CONCATENATE($AT97,$AU97,$AV97,$F97),'SKU Dist'!$E$2:$X$200,'SKU Dist'!K$1,FALSE),""))</f>
        <v/>
      </c>
      <c r="R97" s="389" t="str">
        <f>IF(IF($AT97&lt;&gt;"",VLOOKUP(CONCATENATE($AT97,$AU97,$AV97,$F97),'SKU Dist'!$E$2:$X$200,'SKU Dist'!L$1,FALSE),"")=0,"",IF($AT97&lt;&gt;"",VLOOKUP(CONCATENATE($AT97,$AU97,$AV97,$F97),'SKU Dist'!$E$2:$X$200,'SKU Dist'!L$1,FALSE),""))</f>
        <v/>
      </c>
      <c r="S97" s="389">
        <v>1</v>
      </c>
      <c r="T97" s="389">
        <v>1</v>
      </c>
      <c r="U97" s="389">
        <v>2</v>
      </c>
      <c r="V97" s="389">
        <v>2</v>
      </c>
      <c r="W97" s="389">
        <v>2</v>
      </c>
      <c r="X97" s="389">
        <v>2</v>
      </c>
      <c r="Y97" s="389">
        <v>1</v>
      </c>
      <c r="Z97" s="389">
        <v>2</v>
      </c>
      <c r="AA97" s="389" t="str">
        <f>IF(IF($AT97&lt;&gt;"",VLOOKUP(CONCATENATE($AT97,$AU97,$AV97,$F97),'SKU Dist'!$E$2:$X$200,'SKU Dist'!U$1,FALSE),"")=0,"",IF($AT97&lt;&gt;"",VLOOKUP(CONCATENATE($AT97,$AU97,$AV97,$F97),'SKU Dist'!$E$2:$X$200,'SKU Dist'!U$1,FALSE),""))</f>
        <v/>
      </c>
      <c r="AB97" s="389" t="str">
        <f>IF(IF($AT97&lt;&gt;"",VLOOKUP(CONCATENATE($AT97,$AU97,$AV97,$F97),'SKU Dist'!$E$2:$X$200,'SKU Dist'!V$1,FALSE),"")=0,"",IF($AT97&lt;&gt;"",VLOOKUP(CONCATENATE($AT97,$AU97,$AV97,$F97),'SKU Dist'!$E$2:$X$200,'SKU Dist'!V$1,FALSE),""))</f>
        <v/>
      </c>
      <c r="AC97" s="389" t="str">
        <f>IF(IF($AT97&lt;&gt;"",VLOOKUP(CONCATENATE($AT97,$AU97,$AV97,$F97),'SKU Dist'!$E$2:$X$200,'SKU Dist'!W$1,FALSE),"")=0,"",IF($AT97&lt;&gt;"",VLOOKUP(CONCATENATE($AT97,$AU97,$AV97,$F97),'SKU Dist'!$E$2:$X$200,'SKU Dist'!W$1,FALSE),""))</f>
        <v/>
      </c>
      <c r="AD97" s="392"/>
      <c r="AE97" s="392"/>
      <c r="AF97" s="392"/>
      <c r="AG97" s="919">
        <f t="shared" ref="AG97" si="84">SUM(G97:AF97)</f>
        <v>13</v>
      </c>
      <c r="AH97" s="816">
        <v>140</v>
      </c>
      <c r="AI97" s="943">
        <f t="shared" ref="AI97:AI98" si="85">AG97*AH97</f>
        <v>1820</v>
      </c>
      <c r="AJ97" s="932"/>
      <c r="AT97" s="222" t="str">
        <f t="shared" si="79"/>
        <v/>
      </c>
      <c r="AU97" s="206" t="s">
        <v>22</v>
      </c>
      <c r="AV97" s="206" t="s">
        <v>10</v>
      </c>
    </row>
    <row r="98" spans="1:48" ht="15.75" x14ac:dyDescent="0.25">
      <c r="A98" s="851">
        <f>SUM(AI95:AI98)</f>
        <v>2660</v>
      </c>
      <c r="B98" s="1031"/>
      <c r="C98" s="857" t="s">
        <v>255</v>
      </c>
      <c r="D98" s="868" t="s">
        <v>296</v>
      </c>
      <c r="E98" s="888">
        <v>84670</v>
      </c>
      <c r="F98" s="887" t="s">
        <v>68</v>
      </c>
      <c r="G98" s="641"/>
      <c r="H98" s="392"/>
      <c r="I98" s="392"/>
      <c r="J98" s="392"/>
      <c r="K98" s="392"/>
      <c r="L98" s="392"/>
      <c r="M98" s="392"/>
      <c r="N98" s="392"/>
      <c r="O98" s="433"/>
      <c r="P98" s="389" t="str">
        <f>IF(IF($AT98&lt;&gt;"",VLOOKUP(CONCATENATE($AT98,$AU98,$AV98,$F98),'SKU Dist'!$E$2:$X$200,'SKU Dist'!J$1,FALSE),"")=0,"",IF($AT98&lt;&gt;"",VLOOKUP(CONCATENATE($AT98,$AU98,$AV98,$F98),'SKU Dist'!$E$2:$X$200,'SKU Dist'!J$1,FALSE),""))</f>
        <v/>
      </c>
      <c r="Q98" s="389" t="str">
        <f>IF(IF($AT98&lt;&gt;"",VLOOKUP(CONCATENATE($AT98,$AU98,$AV98,$F98),'SKU Dist'!$E$2:$X$200,'SKU Dist'!K$1,FALSE),"")=0,"",IF($AT98&lt;&gt;"",VLOOKUP(CONCATENATE($AT98,$AU98,$AV98,$F98),'SKU Dist'!$E$2:$X$200,'SKU Dist'!K$1,FALSE),""))</f>
        <v/>
      </c>
      <c r="R98" s="389" t="str">
        <f>IF(IF($AT98&lt;&gt;"",VLOOKUP(CONCATENATE($AT98,$AU98,$AV98,$F98),'SKU Dist'!$E$2:$X$200,'SKU Dist'!L$1,FALSE),"")=0,"",IF($AT98&lt;&gt;"",VLOOKUP(CONCATENATE($AT98,$AU98,$AV98,$F98),'SKU Dist'!$E$2:$X$200,'SKU Dist'!L$1,FALSE),""))</f>
        <v/>
      </c>
      <c r="S98" s="389"/>
      <c r="T98" s="389">
        <v>1</v>
      </c>
      <c r="U98" s="389">
        <v>1</v>
      </c>
      <c r="V98" s="389">
        <v>1</v>
      </c>
      <c r="W98" s="389">
        <v>1</v>
      </c>
      <c r="X98" s="389">
        <v>1</v>
      </c>
      <c r="Y98" s="389"/>
      <c r="Z98" s="389">
        <v>1</v>
      </c>
      <c r="AA98" s="389" t="str">
        <f>IF(IF($AT98&lt;&gt;"",VLOOKUP(CONCATENATE($AT98,$AU98,$AV98,$F98),'SKU Dist'!$E$2:$X$200,'SKU Dist'!U$1,FALSE),"")=0,"",IF($AT98&lt;&gt;"",VLOOKUP(CONCATENATE($AT98,$AU98,$AV98,$F98),'SKU Dist'!$E$2:$X$200,'SKU Dist'!U$1,FALSE),""))</f>
        <v/>
      </c>
      <c r="AB98" s="389" t="str">
        <f>IF(IF($AT98&lt;&gt;"",VLOOKUP(CONCATENATE($AT98,$AU98,$AV98,$F98),'SKU Dist'!$E$2:$X$200,'SKU Dist'!V$1,FALSE),"")=0,"",IF($AT98&lt;&gt;"",VLOOKUP(CONCATENATE($AT98,$AU98,$AV98,$F98),'SKU Dist'!$E$2:$X$200,'SKU Dist'!V$1,FALSE),""))</f>
        <v/>
      </c>
      <c r="AC98" s="392"/>
      <c r="AD98" s="392"/>
      <c r="AE98" s="392"/>
      <c r="AF98" s="392"/>
      <c r="AG98" s="919">
        <f t="shared" ref="AG98" si="86">SUM(G98:AF98)</f>
        <v>6</v>
      </c>
      <c r="AH98" s="816">
        <v>140</v>
      </c>
      <c r="AI98" s="943">
        <f t="shared" si="85"/>
        <v>840</v>
      </c>
      <c r="AJ98" s="932"/>
      <c r="AT98" s="222" t="str">
        <f t="shared" si="79"/>
        <v/>
      </c>
      <c r="AU98" s="206" t="s">
        <v>22</v>
      </c>
      <c r="AV98" s="206" t="s">
        <v>10</v>
      </c>
    </row>
    <row r="99" spans="1:48" ht="15.75" x14ac:dyDescent="0.25">
      <c r="A99" s="381"/>
      <c r="B99" s="1029"/>
      <c r="C99" s="861" t="s">
        <v>255</v>
      </c>
      <c r="D99" s="873" t="s">
        <v>296</v>
      </c>
      <c r="E99" s="890">
        <v>84672</v>
      </c>
      <c r="F99" s="898" t="s">
        <v>35</v>
      </c>
      <c r="G99" s="641"/>
      <c r="H99" s="392"/>
      <c r="I99" s="392"/>
      <c r="J99" s="392"/>
      <c r="K99" s="392"/>
      <c r="L99" s="392"/>
      <c r="M99" s="392"/>
      <c r="N99" s="389" t="str">
        <f>IF(IF($AT99&lt;&gt;"",VLOOKUP(CONCATENATE($AT99,$AU99,$AV99,$F99),'SKU Dist'!$E$2:$X$200,'SKU Dist'!H$1,FALSE),"")=0,"",IF($AT99&lt;&gt;"",VLOOKUP(CONCATENATE($AT99,$AU99,$AV99,$F99),'SKU Dist'!$E$2:$X$200,'SKU Dist'!H$1,FALSE),""))</f>
        <v/>
      </c>
      <c r="O99" s="635" t="str">
        <f>IF(IF($AT99&lt;&gt;"",VLOOKUP(CONCATENATE($AT99,$AU99,$AV99,$F99),'SKU Dist'!$E$2:$X$200,'SKU Dist'!I$1,FALSE),"")=0,"",IF($AT99&lt;&gt;"",VLOOKUP(CONCATENATE($AT99,$AU99,$AV99,$F99),'SKU Dist'!$E$2:$X$200,'SKU Dist'!I$1,FALSE),""))</f>
        <v/>
      </c>
      <c r="P99" s="635" t="str">
        <f>IF(IF($AT99&lt;&gt;"",VLOOKUP(CONCATENATE($AT99,$AU99,$AV99,$F99),'SKU Dist'!$E$2:$X$200,'SKU Dist'!J$1,FALSE),"")=0,"",IF($AT99&lt;&gt;"",VLOOKUP(CONCATENATE($AT99,$AU99,$AV99,$F99),'SKU Dist'!$E$2:$X$200,'SKU Dist'!J$1,FALSE),""))</f>
        <v/>
      </c>
      <c r="Q99" s="635" t="str">
        <f>IF(IF($AT99&lt;&gt;"",VLOOKUP(CONCATENATE($AT99,$AU99,$AV99,$F99),'SKU Dist'!$E$2:$X$200,'SKU Dist'!K$1,FALSE),"")=0,"",IF($AT99&lt;&gt;"",VLOOKUP(CONCATENATE($AT99,$AU99,$AV99,$F99),'SKU Dist'!$E$2:$X$200,'SKU Dist'!K$1,FALSE),""))</f>
        <v/>
      </c>
      <c r="R99" s="635" t="str">
        <f>IF(IF($AT99&lt;&gt;"",VLOOKUP(CONCATENATE($AT99,$AU99,$AV99,$F99),'SKU Dist'!$E$2:$X$200,'SKU Dist'!L$1,FALSE),"")=0,"",IF($AT99&lt;&gt;"",VLOOKUP(CONCATENATE($AT99,$AU99,$AV99,$F99),'SKU Dist'!$E$2:$X$200,'SKU Dist'!L$1,FALSE),""))</f>
        <v/>
      </c>
      <c r="S99" s="635" t="str">
        <f>IF(IF($AT99&lt;&gt;"",VLOOKUP(CONCATENATE($AT99,$AU99,$AV99,$F99),'SKU Dist'!$E$2:$X$200,'SKU Dist'!M$1,FALSE),"")=0,"",IF($AT99&lt;&gt;"",VLOOKUP(CONCATENATE($AT99,$AU99,$AV99,$F99),'SKU Dist'!$E$2:$X$200,'SKU Dist'!M$1,FALSE),""))</f>
        <v/>
      </c>
      <c r="T99" s="635" t="str">
        <f>IF(IF($AT99&lt;&gt;"",VLOOKUP(CONCATENATE($AT99,$AU99,$AV99,$F99),'SKU Dist'!$E$2:$X$200,'SKU Dist'!N$1,FALSE),"")=0,"",IF($AT99&lt;&gt;"",VLOOKUP(CONCATENATE($AT99,$AU99,$AV99,$F99),'SKU Dist'!$E$2:$X$200,'SKU Dist'!N$1,FALSE),""))</f>
        <v/>
      </c>
      <c r="U99" s="635" t="str">
        <f>IF(IF($AT99&lt;&gt;"",VLOOKUP(CONCATENATE($AT99,$AU99,$AV99,$F99),'SKU Dist'!$E$2:$X$200,'SKU Dist'!O$1,FALSE),"")=0,"",IF($AT99&lt;&gt;"",VLOOKUP(CONCATENATE($AT99,$AU99,$AV99,$F99),'SKU Dist'!$E$2:$X$200,'SKU Dist'!O$1,FALSE),""))</f>
        <v/>
      </c>
      <c r="V99" s="635" t="str">
        <f>IF(IF($AT99&lt;&gt;"",VLOOKUP(CONCATENATE($AT99,$AU99,$AV99,$F99),'SKU Dist'!$E$2:$X$200,'SKU Dist'!P$1,FALSE),"")=0,"",IF($AT99&lt;&gt;"",VLOOKUP(CONCATENATE($AT99,$AU99,$AV99,$F99),'SKU Dist'!$E$2:$X$200,'SKU Dist'!P$1,FALSE),""))</f>
        <v/>
      </c>
      <c r="W99" s="635" t="str">
        <f>IF(IF($AT99&lt;&gt;"",VLOOKUP(CONCATENATE($AT99,$AU99,$AV99,$F99),'SKU Dist'!$E$2:$X$200,'SKU Dist'!Q$1,FALSE),"")=0,"",IF($AT99&lt;&gt;"",VLOOKUP(CONCATENATE($AT99,$AU99,$AV99,$F99),'SKU Dist'!$E$2:$X$200,'SKU Dist'!Q$1,FALSE),""))</f>
        <v/>
      </c>
      <c r="X99" s="635" t="str">
        <f>IF(IF($AT99&lt;&gt;"",VLOOKUP(CONCATENATE($AT99,$AU99,$AV99,$F99),'SKU Dist'!$E$2:$X$200,'SKU Dist'!R$1,FALSE),"")=0,"",IF($AT99&lt;&gt;"",VLOOKUP(CONCATENATE($AT99,$AU99,$AV99,$F99),'SKU Dist'!$E$2:$X$200,'SKU Dist'!R$1,FALSE),""))</f>
        <v/>
      </c>
      <c r="Y99" s="635" t="str">
        <f>IF(IF($AT99&lt;&gt;"",VLOOKUP(CONCATENATE($AT99,$AU99,$AV99,$F99),'SKU Dist'!$E$2:$X$200,'SKU Dist'!S$1,FALSE),"")=0,"",IF($AT99&lt;&gt;"",VLOOKUP(CONCATENATE($AT99,$AU99,$AV99,$F99),'SKU Dist'!$E$2:$X$200,'SKU Dist'!S$1,FALSE),""))</f>
        <v/>
      </c>
      <c r="Z99" s="635" t="str">
        <f>IF(IF($AT99&lt;&gt;"",VLOOKUP(CONCATENATE($AT99,$AU99,$AV99,$F99),'SKU Dist'!$E$2:$X$200,'SKU Dist'!T$1,FALSE),"")=0,"",IF($AT99&lt;&gt;"",VLOOKUP(CONCATENATE($AT99,$AU99,$AV99,$F99),'SKU Dist'!$E$2:$X$200,'SKU Dist'!T$1,FALSE),""))</f>
        <v/>
      </c>
      <c r="AA99" s="635" t="str">
        <f>IF(IF($AT99&lt;&gt;"",VLOOKUP(CONCATENATE($AT99,$AU99,$AV99,$F99),'SKU Dist'!$E$2:$X$200,'SKU Dist'!U$1,FALSE),"")=0,"",IF($AT99&lt;&gt;"",VLOOKUP(CONCATENATE($AT99,$AU99,$AV99,$F99),'SKU Dist'!$E$2:$X$200,'SKU Dist'!U$1,FALSE),""))</f>
        <v/>
      </c>
      <c r="AB99" s="635" t="str">
        <f>IF(IF($AT99&lt;&gt;"",VLOOKUP(CONCATENATE($AT99,$AU99,$AV99,$F99),'SKU Dist'!$E$2:$X$200,'SKU Dist'!V$1,FALSE),"")=0,"",IF($AT99&lt;&gt;"",VLOOKUP(CONCATENATE($AT99,$AU99,$AV99,$F99),'SKU Dist'!$E$2:$X$200,'SKU Dist'!V$1,FALSE),""))</f>
        <v/>
      </c>
      <c r="AC99" s="635" t="str">
        <f>IF(IF($AT99&lt;&gt;"",VLOOKUP(CONCATENATE($AT99,$AU99,$AV99,$F99),'SKU Dist'!$E$2:$X$200,'SKU Dist'!W$1,FALSE),"")=0,"",IF($AT99&lt;&gt;"",VLOOKUP(CONCATENATE($AT99,$AU99,$AV99,$F99),'SKU Dist'!$E$2:$X$200,'SKU Dist'!W$1,FALSE),""))</f>
        <v/>
      </c>
      <c r="AD99" s="392"/>
      <c r="AE99" s="392"/>
      <c r="AF99" s="392"/>
      <c r="AG99" s="803">
        <f t="shared" ref="AG99" si="87">SUM(G99:AF99)</f>
        <v>0</v>
      </c>
      <c r="AH99" s="835">
        <v>135</v>
      </c>
      <c r="AI99" s="948">
        <f t="shared" ref="AI99:AI100" si="88">AG99*AH99</f>
        <v>0</v>
      </c>
      <c r="AJ99" s="935"/>
      <c r="AT99" s="222" t="str">
        <f t="shared" ref="AT99:AT100" si="89">IF(E99=E98,AT98,IF(B99="","",B99))</f>
        <v/>
      </c>
      <c r="AU99" s="206" t="s">
        <v>22</v>
      </c>
      <c r="AV99" s="206" t="s">
        <v>10</v>
      </c>
    </row>
    <row r="100" spans="1:48" ht="15.75" x14ac:dyDescent="0.25">
      <c r="A100" s="381"/>
      <c r="B100" s="1029"/>
      <c r="C100" s="861" t="s">
        <v>255</v>
      </c>
      <c r="D100" s="873" t="s">
        <v>296</v>
      </c>
      <c r="E100" s="890">
        <v>84672</v>
      </c>
      <c r="F100" s="898" t="s">
        <v>68</v>
      </c>
      <c r="G100" s="641"/>
      <c r="H100" s="392"/>
      <c r="I100" s="392"/>
      <c r="J100" s="392"/>
      <c r="K100" s="392"/>
      <c r="L100" s="392"/>
      <c r="M100" s="392"/>
      <c r="N100" s="392"/>
      <c r="O100" s="433"/>
      <c r="P100" s="635" t="str">
        <f>IF(IF($AT100&lt;&gt;"",VLOOKUP(CONCATENATE($AT100,$AU100,$AV100,$F100),'SKU Dist'!$E$2:$X$200,'SKU Dist'!J$1,FALSE),"")=0,"",IF($AT100&lt;&gt;"",VLOOKUP(CONCATENATE($AT100,$AU100,$AV100,$F100),'SKU Dist'!$E$2:$X$200,'SKU Dist'!J$1,FALSE),""))</f>
        <v/>
      </c>
      <c r="Q100" s="635" t="str">
        <f>IF(IF($AT100&lt;&gt;"",VLOOKUP(CONCATENATE($AT100,$AU100,$AV100,$F100),'SKU Dist'!$E$2:$X$200,'SKU Dist'!K$1,FALSE),"")=0,"",IF($AT100&lt;&gt;"",VLOOKUP(CONCATENATE($AT100,$AU100,$AV100,$F100),'SKU Dist'!$E$2:$X$200,'SKU Dist'!K$1,FALSE),""))</f>
        <v/>
      </c>
      <c r="R100" s="635" t="str">
        <f>IF(IF($AT100&lt;&gt;"",VLOOKUP(CONCATENATE($AT100,$AU100,$AV100,$F100),'SKU Dist'!$E$2:$X$200,'SKU Dist'!L$1,FALSE),"")=0,"",IF($AT100&lt;&gt;"",VLOOKUP(CONCATENATE($AT100,$AU100,$AV100,$F100),'SKU Dist'!$E$2:$X$200,'SKU Dist'!L$1,FALSE),""))</f>
        <v/>
      </c>
      <c r="S100" s="635" t="str">
        <f>IF(IF($AT100&lt;&gt;"",VLOOKUP(CONCATENATE($AT100,$AU100,$AV100,$F100),'SKU Dist'!$E$2:$X$200,'SKU Dist'!M$1,FALSE),"")=0,"",IF($AT100&lt;&gt;"",VLOOKUP(CONCATENATE($AT100,$AU100,$AV100,$F100),'SKU Dist'!$E$2:$X$200,'SKU Dist'!M$1,FALSE),""))</f>
        <v/>
      </c>
      <c r="T100" s="635" t="str">
        <f>IF(IF($AT100&lt;&gt;"",VLOOKUP(CONCATENATE($AT100,$AU100,$AV100,$F100),'SKU Dist'!$E$2:$X$200,'SKU Dist'!N$1,FALSE),"")=0,"",IF($AT100&lt;&gt;"",VLOOKUP(CONCATENATE($AT100,$AU100,$AV100,$F100),'SKU Dist'!$E$2:$X$200,'SKU Dist'!N$1,FALSE),""))</f>
        <v/>
      </c>
      <c r="U100" s="635" t="str">
        <f>IF(IF($AT100&lt;&gt;"",VLOOKUP(CONCATENATE($AT100,$AU100,$AV100,$F100),'SKU Dist'!$E$2:$X$200,'SKU Dist'!O$1,FALSE),"")=0,"",IF($AT100&lt;&gt;"",VLOOKUP(CONCATENATE($AT100,$AU100,$AV100,$F100),'SKU Dist'!$E$2:$X$200,'SKU Dist'!O$1,FALSE),""))</f>
        <v/>
      </c>
      <c r="V100" s="635" t="str">
        <f>IF(IF($AT100&lt;&gt;"",VLOOKUP(CONCATENATE($AT100,$AU100,$AV100,$F100),'SKU Dist'!$E$2:$X$200,'SKU Dist'!P$1,FALSE),"")=0,"",IF($AT100&lt;&gt;"",VLOOKUP(CONCATENATE($AT100,$AU100,$AV100,$F100),'SKU Dist'!$E$2:$X$200,'SKU Dist'!P$1,FALSE),""))</f>
        <v/>
      </c>
      <c r="W100" s="635" t="str">
        <f>IF(IF($AT100&lt;&gt;"",VLOOKUP(CONCATENATE($AT100,$AU100,$AV100,$F100),'SKU Dist'!$E$2:$X$200,'SKU Dist'!Q$1,FALSE),"")=0,"",IF($AT100&lt;&gt;"",VLOOKUP(CONCATENATE($AT100,$AU100,$AV100,$F100),'SKU Dist'!$E$2:$X$200,'SKU Dist'!Q$1,FALSE),""))</f>
        <v/>
      </c>
      <c r="X100" s="635" t="str">
        <f>IF(IF($AT100&lt;&gt;"",VLOOKUP(CONCATENATE($AT100,$AU100,$AV100,$F100),'SKU Dist'!$E$2:$X$200,'SKU Dist'!R$1,FALSE),"")=0,"",IF($AT100&lt;&gt;"",VLOOKUP(CONCATENATE($AT100,$AU100,$AV100,$F100),'SKU Dist'!$E$2:$X$200,'SKU Dist'!R$1,FALSE),""))</f>
        <v/>
      </c>
      <c r="Y100" s="635" t="str">
        <f>IF(IF($AT100&lt;&gt;"",VLOOKUP(CONCATENATE($AT100,$AU100,$AV100,$F100),'SKU Dist'!$E$2:$X$200,'SKU Dist'!S$1,FALSE),"")=0,"",IF($AT100&lt;&gt;"",VLOOKUP(CONCATENATE($AT100,$AU100,$AV100,$F100),'SKU Dist'!$E$2:$X$200,'SKU Dist'!S$1,FALSE),""))</f>
        <v/>
      </c>
      <c r="Z100" s="635" t="str">
        <f>IF(IF($AT100&lt;&gt;"",VLOOKUP(CONCATENATE($AT100,$AU100,$AV100,$F100),'SKU Dist'!$E$2:$X$200,'SKU Dist'!T$1,FALSE),"")=0,"",IF($AT100&lt;&gt;"",VLOOKUP(CONCATENATE($AT100,$AU100,$AV100,$F100),'SKU Dist'!$E$2:$X$200,'SKU Dist'!T$1,FALSE),""))</f>
        <v/>
      </c>
      <c r="AA100" s="635" t="str">
        <f>IF(IF($AT100&lt;&gt;"",VLOOKUP(CONCATENATE($AT100,$AU100,$AV100,$F100),'SKU Dist'!$E$2:$X$200,'SKU Dist'!U$1,FALSE),"")=0,"",IF($AT100&lt;&gt;"",VLOOKUP(CONCATENATE($AT100,$AU100,$AV100,$F100),'SKU Dist'!$E$2:$X$200,'SKU Dist'!U$1,FALSE),""))</f>
        <v/>
      </c>
      <c r="AB100" s="635" t="str">
        <f>IF(IF($AT100&lt;&gt;"",VLOOKUP(CONCATENATE($AT100,$AU100,$AV100,$F100),'SKU Dist'!$E$2:$X$200,'SKU Dist'!V$1,FALSE),"")=0,"",IF($AT100&lt;&gt;"",VLOOKUP(CONCATENATE($AT100,$AU100,$AV100,$F100),'SKU Dist'!$E$2:$X$200,'SKU Dist'!V$1,FALSE),""))</f>
        <v/>
      </c>
      <c r="AC100" s="392"/>
      <c r="AD100" s="392"/>
      <c r="AE100" s="392"/>
      <c r="AF100" s="392"/>
      <c r="AG100" s="803">
        <f t="shared" ref="AG100" si="90">SUM(G100:AF100)</f>
        <v>0</v>
      </c>
      <c r="AH100" s="835">
        <v>135</v>
      </c>
      <c r="AI100" s="948">
        <f t="shared" si="88"/>
        <v>0</v>
      </c>
      <c r="AJ100" s="935"/>
      <c r="AT100" s="222" t="str">
        <f t="shared" si="89"/>
        <v/>
      </c>
      <c r="AU100" s="206" t="s">
        <v>22</v>
      </c>
      <c r="AV100" s="206" t="s">
        <v>10</v>
      </c>
    </row>
    <row r="101" spans="1:48" ht="15.75" x14ac:dyDescent="0.25">
      <c r="A101" s="381"/>
      <c r="B101" s="1031"/>
      <c r="C101" s="857" t="s">
        <v>255</v>
      </c>
      <c r="D101" s="868" t="s">
        <v>296</v>
      </c>
      <c r="E101" s="888">
        <v>84675</v>
      </c>
      <c r="F101" s="887" t="s">
        <v>35</v>
      </c>
      <c r="G101" s="641"/>
      <c r="H101" s="392"/>
      <c r="I101" s="392"/>
      <c r="J101" s="392"/>
      <c r="K101" s="392"/>
      <c r="L101" s="392"/>
      <c r="M101" s="392"/>
      <c r="N101" s="389" t="str">
        <f>IF(IF($AT101&lt;&gt;"",VLOOKUP(CONCATENATE($AT101,$AU101,$AV101,$F101),'SKU Dist'!$E$2:$X$200,'SKU Dist'!H$1,FALSE),"")=0,"",IF($AT101&lt;&gt;"",VLOOKUP(CONCATENATE($AT101,$AU101,$AV101,$F101),'SKU Dist'!$E$2:$X$200,'SKU Dist'!H$1,FALSE),""))</f>
        <v/>
      </c>
      <c r="O101" s="389" t="str">
        <f>IF(IF($AT101&lt;&gt;"",VLOOKUP(CONCATENATE($AT101,$AU101,$AV101,$F101),'SKU Dist'!$E$2:$X$200,'SKU Dist'!I$1,FALSE),"")=0,"",IF($AT101&lt;&gt;"",VLOOKUP(CONCATENATE($AT101,$AU101,$AV101,$F101),'SKU Dist'!$E$2:$X$200,'SKU Dist'!I$1,FALSE),""))</f>
        <v/>
      </c>
      <c r="P101" s="389" t="str">
        <f>IF(IF($AT101&lt;&gt;"",VLOOKUP(CONCATENATE($AT101,$AU101,$AV101,$F101),'SKU Dist'!$E$2:$X$200,'SKU Dist'!J$1,FALSE),"")=0,"",IF($AT101&lt;&gt;"",VLOOKUP(CONCATENATE($AT101,$AU101,$AV101,$F101),'SKU Dist'!$E$2:$X$200,'SKU Dist'!J$1,FALSE),""))</f>
        <v/>
      </c>
      <c r="Q101" s="389" t="str">
        <f>IF(IF($AT101&lt;&gt;"",VLOOKUP(CONCATENATE($AT101,$AU101,$AV101,$F101),'SKU Dist'!$E$2:$X$200,'SKU Dist'!K$1,FALSE),"")=0,"",IF($AT101&lt;&gt;"",VLOOKUP(CONCATENATE($AT101,$AU101,$AV101,$F101),'SKU Dist'!$E$2:$X$200,'SKU Dist'!K$1,FALSE),""))</f>
        <v/>
      </c>
      <c r="R101" s="389" t="str">
        <f>IF(IF($AT101&lt;&gt;"",VLOOKUP(CONCATENATE($AT101,$AU101,$AV101,$F101),'SKU Dist'!$E$2:$X$200,'SKU Dist'!L$1,FALSE),"")=0,"",IF($AT101&lt;&gt;"",VLOOKUP(CONCATENATE($AT101,$AU101,$AV101,$F101),'SKU Dist'!$E$2:$X$200,'SKU Dist'!L$1,FALSE),""))</f>
        <v/>
      </c>
      <c r="S101" s="389" t="str">
        <f>IF(IF($AT101&lt;&gt;"",VLOOKUP(CONCATENATE($AT101,$AU101,$AV101,$F101),'SKU Dist'!$E$2:$X$200,'SKU Dist'!M$1,FALSE),"")=0,"",IF($AT101&lt;&gt;"",VLOOKUP(CONCATENATE($AT101,$AU101,$AV101,$F101),'SKU Dist'!$E$2:$X$200,'SKU Dist'!M$1,FALSE),""))</f>
        <v/>
      </c>
      <c r="T101" s="389" t="str">
        <f>IF(IF($AT101&lt;&gt;"",VLOOKUP(CONCATENATE($AT101,$AU101,$AV101,$F101),'SKU Dist'!$E$2:$X$200,'SKU Dist'!N$1,FALSE),"")=0,"",IF($AT101&lt;&gt;"",VLOOKUP(CONCATENATE($AT101,$AU101,$AV101,$F101),'SKU Dist'!$E$2:$X$200,'SKU Dist'!N$1,FALSE),""))</f>
        <v/>
      </c>
      <c r="U101" s="389" t="str">
        <f>IF(IF($AT101&lt;&gt;"",VLOOKUP(CONCATENATE($AT101,$AU101,$AV101,$F101),'SKU Dist'!$E$2:$X$200,'SKU Dist'!O$1,FALSE),"")=0,"",IF($AT101&lt;&gt;"",VLOOKUP(CONCATENATE($AT101,$AU101,$AV101,$F101),'SKU Dist'!$E$2:$X$200,'SKU Dist'!O$1,FALSE),""))</f>
        <v/>
      </c>
      <c r="V101" s="389" t="str">
        <f>IF(IF($AT101&lt;&gt;"",VLOOKUP(CONCATENATE($AT101,$AU101,$AV101,$F101),'SKU Dist'!$E$2:$X$200,'SKU Dist'!P$1,FALSE),"")=0,"",IF($AT101&lt;&gt;"",VLOOKUP(CONCATENATE($AT101,$AU101,$AV101,$F101),'SKU Dist'!$E$2:$X$200,'SKU Dist'!P$1,FALSE),""))</f>
        <v/>
      </c>
      <c r="W101" s="389" t="str">
        <f>IF(IF($AT101&lt;&gt;"",VLOOKUP(CONCATENATE($AT101,$AU101,$AV101,$F101),'SKU Dist'!$E$2:$X$200,'SKU Dist'!Q$1,FALSE),"")=0,"",IF($AT101&lt;&gt;"",VLOOKUP(CONCATENATE($AT101,$AU101,$AV101,$F101),'SKU Dist'!$E$2:$X$200,'SKU Dist'!Q$1,FALSE),""))</f>
        <v/>
      </c>
      <c r="X101" s="389" t="str">
        <f>IF(IF($AT101&lt;&gt;"",VLOOKUP(CONCATENATE($AT101,$AU101,$AV101,$F101),'SKU Dist'!$E$2:$X$200,'SKU Dist'!R$1,FALSE),"")=0,"",IF($AT101&lt;&gt;"",VLOOKUP(CONCATENATE($AT101,$AU101,$AV101,$F101),'SKU Dist'!$E$2:$X$200,'SKU Dist'!R$1,FALSE),""))</f>
        <v/>
      </c>
      <c r="Y101" s="389" t="str">
        <f>IF(IF($AT101&lt;&gt;"",VLOOKUP(CONCATENATE($AT101,$AU101,$AV101,$F101),'SKU Dist'!$E$2:$X$200,'SKU Dist'!S$1,FALSE),"")=0,"",IF($AT101&lt;&gt;"",VLOOKUP(CONCATENATE($AT101,$AU101,$AV101,$F101),'SKU Dist'!$E$2:$X$200,'SKU Dist'!S$1,FALSE),""))</f>
        <v/>
      </c>
      <c r="Z101" s="389" t="str">
        <f>IF(IF($AT101&lt;&gt;"",VLOOKUP(CONCATENATE($AT101,$AU101,$AV101,$F101),'SKU Dist'!$E$2:$X$200,'SKU Dist'!T$1,FALSE),"")=0,"",IF($AT101&lt;&gt;"",VLOOKUP(CONCATENATE($AT101,$AU101,$AV101,$F101),'SKU Dist'!$E$2:$X$200,'SKU Dist'!T$1,FALSE),""))</f>
        <v/>
      </c>
      <c r="AA101" s="389" t="str">
        <f>IF(IF($AT101&lt;&gt;"",VLOOKUP(CONCATENATE($AT101,$AU101,$AV101,$F101),'SKU Dist'!$E$2:$X$200,'SKU Dist'!U$1,FALSE),"")=0,"",IF($AT101&lt;&gt;"",VLOOKUP(CONCATENATE($AT101,$AU101,$AV101,$F101),'SKU Dist'!$E$2:$X$200,'SKU Dist'!U$1,FALSE),""))</f>
        <v/>
      </c>
      <c r="AB101" s="389" t="str">
        <f>IF(IF($AT101&lt;&gt;"",VLOOKUP(CONCATENATE($AT101,$AU101,$AV101,$F101),'SKU Dist'!$E$2:$X$200,'SKU Dist'!V$1,FALSE),"")=0,"",IF($AT101&lt;&gt;"",VLOOKUP(CONCATENATE($AT101,$AU101,$AV101,$F101),'SKU Dist'!$E$2:$X$200,'SKU Dist'!V$1,FALSE),""))</f>
        <v/>
      </c>
      <c r="AC101" s="389" t="str">
        <f>IF(IF($AT101&lt;&gt;"",VLOOKUP(CONCATENATE($AT101,$AU101,$AV101,$F101),'SKU Dist'!$E$2:$X$200,'SKU Dist'!W$1,FALSE),"")=0,"",IF($AT101&lt;&gt;"",VLOOKUP(CONCATENATE($AT101,$AU101,$AV101,$F101),'SKU Dist'!$E$2:$X$200,'SKU Dist'!W$1,FALSE),""))</f>
        <v/>
      </c>
      <c r="AD101" s="392"/>
      <c r="AE101" s="392"/>
      <c r="AF101" s="392"/>
      <c r="AG101" s="919">
        <f t="shared" ref="AG101" si="91">SUM(G101:AF101)</f>
        <v>0</v>
      </c>
      <c r="AH101" s="816">
        <v>125</v>
      </c>
      <c r="AI101" s="943">
        <f t="shared" ref="AI101:AI102" si="92">AG101*AH101</f>
        <v>0</v>
      </c>
      <c r="AJ101" s="932"/>
      <c r="AT101" s="222" t="str">
        <f t="shared" ref="AT101:AT102" si="93">IF(E101=E100,AT100,IF(B101="","",B101))</f>
        <v/>
      </c>
      <c r="AU101" s="206" t="s">
        <v>22</v>
      </c>
      <c r="AV101" s="206" t="s">
        <v>10</v>
      </c>
    </row>
    <row r="102" spans="1:48" ht="16.5" thickBot="1" x14ac:dyDescent="0.3">
      <c r="A102" s="854"/>
      <c r="B102" s="1032"/>
      <c r="C102" s="863" t="s">
        <v>255</v>
      </c>
      <c r="D102" s="875" t="s">
        <v>296</v>
      </c>
      <c r="E102" s="903">
        <v>84675</v>
      </c>
      <c r="F102" s="904" t="s">
        <v>68</v>
      </c>
      <c r="G102" s="880"/>
      <c r="H102" s="393"/>
      <c r="I102" s="393"/>
      <c r="J102" s="393"/>
      <c r="K102" s="393"/>
      <c r="L102" s="393"/>
      <c r="M102" s="393"/>
      <c r="N102" s="393"/>
      <c r="O102" s="796"/>
      <c r="P102" s="741" t="str">
        <f>IF(IF($AT102&lt;&gt;"",VLOOKUP(CONCATENATE($AT102,$AU102,$AV102,$F102),'SKU Dist'!$E$2:$X$200,'SKU Dist'!J$1,FALSE),"")=0,"",IF($AT102&lt;&gt;"",VLOOKUP(CONCATENATE($AT102,$AU102,$AV102,$F102),'SKU Dist'!$E$2:$X$200,'SKU Dist'!J$1,FALSE),""))</f>
        <v/>
      </c>
      <c r="Q102" s="741" t="str">
        <f>IF(IF($AT102&lt;&gt;"",VLOOKUP(CONCATENATE($AT102,$AU102,$AV102,$F102),'SKU Dist'!$E$2:$X$200,'SKU Dist'!K$1,FALSE),"")=0,"",IF($AT102&lt;&gt;"",VLOOKUP(CONCATENATE($AT102,$AU102,$AV102,$F102),'SKU Dist'!$E$2:$X$200,'SKU Dist'!K$1,FALSE),""))</f>
        <v/>
      </c>
      <c r="R102" s="741" t="str">
        <f>IF(IF($AT102&lt;&gt;"",VLOOKUP(CONCATENATE($AT102,$AU102,$AV102,$F102),'SKU Dist'!$E$2:$X$200,'SKU Dist'!L$1,FALSE),"")=0,"",IF($AT102&lt;&gt;"",VLOOKUP(CONCATENATE($AT102,$AU102,$AV102,$F102),'SKU Dist'!$E$2:$X$200,'SKU Dist'!L$1,FALSE),""))</f>
        <v/>
      </c>
      <c r="S102" s="741" t="str">
        <f>IF(IF($AT102&lt;&gt;"",VLOOKUP(CONCATENATE($AT102,$AU102,$AV102,$F102),'SKU Dist'!$E$2:$X$200,'SKU Dist'!M$1,FALSE),"")=0,"",IF($AT102&lt;&gt;"",VLOOKUP(CONCATENATE($AT102,$AU102,$AV102,$F102),'SKU Dist'!$E$2:$X$200,'SKU Dist'!M$1,FALSE),""))</f>
        <v/>
      </c>
      <c r="T102" s="741" t="str">
        <f>IF(IF($AT102&lt;&gt;"",VLOOKUP(CONCATENATE($AT102,$AU102,$AV102,$F102),'SKU Dist'!$E$2:$X$200,'SKU Dist'!N$1,FALSE),"")=0,"",IF($AT102&lt;&gt;"",VLOOKUP(CONCATENATE($AT102,$AU102,$AV102,$F102),'SKU Dist'!$E$2:$X$200,'SKU Dist'!N$1,FALSE),""))</f>
        <v/>
      </c>
      <c r="U102" s="741" t="str">
        <f>IF(IF($AT102&lt;&gt;"",VLOOKUP(CONCATENATE($AT102,$AU102,$AV102,$F102),'SKU Dist'!$E$2:$X$200,'SKU Dist'!O$1,FALSE),"")=0,"",IF($AT102&lt;&gt;"",VLOOKUP(CONCATENATE($AT102,$AU102,$AV102,$F102),'SKU Dist'!$E$2:$X$200,'SKU Dist'!O$1,FALSE),""))</f>
        <v/>
      </c>
      <c r="V102" s="741" t="str">
        <f>IF(IF($AT102&lt;&gt;"",VLOOKUP(CONCATENATE($AT102,$AU102,$AV102,$F102),'SKU Dist'!$E$2:$X$200,'SKU Dist'!P$1,FALSE),"")=0,"",IF($AT102&lt;&gt;"",VLOOKUP(CONCATENATE($AT102,$AU102,$AV102,$F102),'SKU Dist'!$E$2:$X$200,'SKU Dist'!P$1,FALSE),""))</f>
        <v/>
      </c>
      <c r="W102" s="741" t="str">
        <f>IF(IF($AT102&lt;&gt;"",VLOOKUP(CONCATENATE($AT102,$AU102,$AV102,$F102),'SKU Dist'!$E$2:$X$200,'SKU Dist'!Q$1,FALSE),"")=0,"",IF($AT102&lt;&gt;"",VLOOKUP(CONCATENATE($AT102,$AU102,$AV102,$F102),'SKU Dist'!$E$2:$X$200,'SKU Dist'!Q$1,FALSE),""))</f>
        <v/>
      </c>
      <c r="X102" s="741" t="str">
        <f>IF(IF($AT102&lt;&gt;"",VLOOKUP(CONCATENATE($AT102,$AU102,$AV102,$F102),'SKU Dist'!$E$2:$X$200,'SKU Dist'!R$1,FALSE),"")=0,"",IF($AT102&lt;&gt;"",VLOOKUP(CONCATENATE($AT102,$AU102,$AV102,$F102),'SKU Dist'!$E$2:$X$200,'SKU Dist'!R$1,FALSE),""))</f>
        <v/>
      </c>
      <c r="Y102" s="741" t="str">
        <f>IF(IF($AT102&lt;&gt;"",VLOOKUP(CONCATENATE($AT102,$AU102,$AV102,$F102),'SKU Dist'!$E$2:$X$200,'SKU Dist'!S$1,FALSE),"")=0,"",IF($AT102&lt;&gt;"",VLOOKUP(CONCATENATE($AT102,$AU102,$AV102,$F102),'SKU Dist'!$E$2:$X$200,'SKU Dist'!S$1,FALSE),""))</f>
        <v/>
      </c>
      <c r="Z102" s="741" t="str">
        <f>IF(IF($AT102&lt;&gt;"",VLOOKUP(CONCATENATE($AT102,$AU102,$AV102,$F102),'SKU Dist'!$E$2:$X$200,'SKU Dist'!T$1,FALSE),"")=0,"",IF($AT102&lt;&gt;"",VLOOKUP(CONCATENATE($AT102,$AU102,$AV102,$F102),'SKU Dist'!$E$2:$X$200,'SKU Dist'!T$1,FALSE),""))</f>
        <v/>
      </c>
      <c r="AA102" s="741" t="str">
        <f>IF(IF($AT102&lt;&gt;"",VLOOKUP(CONCATENATE($AT102,$AU102,$AV102,$F102),'SKU Dist'!$E$2:$X$200,'SKU Dist'!U$1,FALSE),"")=0,"",IF($AT102&lt;&gt;"",VLOOKUP(CONCATENATE($AT102,$AU102,$AV102,$F102),'SKU Dist'!$E$2:$X$200,'SKU Dist'!U$1,FALSE),""))</f>
        <v/>
      </c>
      <c r="AB102" s="741" t="str">
        <f>IF(IF($AT102&lt;&gt;"",VLOOKUP(CONCATENATE($AT102,$AU102,$AV102,$F102),'SKU Dist'!$E$2:$X$200,'SKU Dist'!V$1,FALSE),"")=0,"",IF($AT102&lt;&gt;"",VLOOKUP(CONCATENATE($AT102,$AU102,$AV102,$F102),'SKU Dist'!$E$2:$X$200,'SKU Dist'!V$1,FALSE),""))</f>
        <v/>
      </c>
      <c r="AC102" s="393"/>
      <c r="AD102" s="393"/>
      <c r="AE102" s="393"/>
      <c r="AF102" s="393"/>
      <c r="AG102" s="920">
        <f t="shared" ref="AG102" si="94">SUM(G102:AF102)</f>
        <v>0</v>
      </c>
      <c r="AH102" s="836">
        <v>125</v>
      </c>
      <c r="AI102" s="950">
        <f t="shared" si="92"/>
        <v>0</v>
      </c>
      <c r="AJ102" s="941"/>
      <c r="AT102" s="222" t="str">
        <f t="shared" si="93"/>
        <v/>
      </c>
      <c r="AU102" s="206" t="s">
        <v>22</v>
      </c>
      <c r="AV102" s="206" t="s">
        <v>10</v>
      </c>
    </row>
  </sheetData>
  <sheetProtection algorithmName="SHA-512" hashValue="z3BOT/hag8L3BpTIY9sxJKhpx8aAu8Dum611FKthRox/hbnPtObs4ndxf+RMpqHDQrb1vGVdH8t8qGLAZ+ibPQ==" saltValue="7zAMGmxZj7LmUAdj+QUQig==" spinCount="100000" sheet="1" selectLockedCells="1"/>
  <mergeCells count="73">
    <mergeCell ref="B93:B94"/>
    <mergeCell ref="B89:B90"/>
    <mergeCell ref="B12:B14"/>
    <mergeCell ref="A9:D10"/>
    <mergeCell ref="B87:B88"/>
    <mergeCell ref="B77:B78"/>
    <mergeCell ref="B85:B86"/>
    <mergeCell ref="B15:B17"/>
    <mergeCell ref="B25:B27"/>
    <mergeCell ref="B28:B30"/>
    <mergeCell ref="B67:B68"/>
    <mergeCell ref="B79:B80"/>
    <mergeCell ref="B63:B64"/>
    <mergeCell ref="B45:B46"/>
    <mergeCell ref="B47:B48"/>
    <mergeCell ref="B65:B66"/>
    <mergeCell ref="B5:D5"/>
    <mergeCell ref="F4:I4"/>
    <mergeCell ref="M4:O4"/>
    <mergeCell ref="U8:V8"/>
    <mergeCell ref="S8:T8"/>
    <mergeCell ref="P4:V4"/>
    <mergeCell ref="P7:V7"/>
    <mergeCell ref="M6:O6"/>
    <mergeCell ref="F6:I6"/>
    <mergeCell ref="F7:I7"/>
    <mergeCell ref="N7:O7"/>
    <mergeCell ref="P8:R8"/>
    <mergeCell ref="F8:I8"/>
    <mergeCell ref="N8:O8"/>
    <mergeCell ref="AH4:AI4"/>
    <mergeCell ref="W7:Z8"/>
    <mergeCell ref="AI7:AJ7"/>
    <mergeCell ref="AH8:AJ9"/>
    <mergeCell ref="AA7:AF7"/>
    <mergeCell ref="AA9:AF9"/>
    <mergeCell ref="AA6:AF6"/>
    <mergeCell ref="AI5:AJ5"/>
    <mergeCell ref="X1:AA2"/>
    <mergeCell ref="P3:T3"/>
    <mergeCell ref="Y3:Z4"/>
    <mergeCell ref="E1:W2"/>
    <mergeCell ref="AA5:AF5"/>
    <mergeCell ref="AA3:AF3"/>
    <mergeCell ref="AA4:AF4"/>
    <mergeCell ref="W5:Z6"/>
    <mergeCell ref="P5:V5"/>
    <mergeCell ref="P6:V6"/>
    <mergeCell ref="F5:I5"/>
    <mergeCell ref="L5:O5"/>
    <mergeCell ref="B53:B54"/>
    <mergeCell ref="B49:B50"/>
    <mergeCell ref="B33:B36"/>
    <mergeCell ref="B61:B62"/>
    <mergeCell ref="B51:B52"/>
    <mergeCell ref="B59:B60"/>
    <mergeCell ref="B55:B56"/>
    <mergeCell ref="B91:B92"/>
    <mergeCell ref="B71:B72"/>
    <mergeCell ref="B101:B102"/>
    <mergeCell ref="B57:B58"/>
    <mergeCell ref="B18:B20"/>
    <mergeCell ref="B81:B82"/>
    <mergeCell ref="B97:B98"/>
    <mergeCell ref="B99:B100"/>
    <mergeCell ref="B31:B32"/>
    <mergeCell ref="B37:B40"/>
    <mergeCell ref="B41:B44"/>
    <mergeCell ref="B21:B23"/>
    <mergeCell ref="B83:B84"/>
    <mergeCell ref="B73:B74"/>
    <mergeCell ref="B75:B76"/>
    <mergeCell ref="B95:B96"/>
  </mergeCells>
  <phoneticPr fontId="55" type="noConversion"/>
  <dataValidations count="5">
    <dataValidation type="list" allowBlank="1" showInputMessage="1" showErrorMessage="1" sqref="W4" xr:uid="{1BF4F3AA-8676-4B84-BABF-9799196E1C2C}">
      <formula1>$AM$6:$AM$7</formula1>
    </dataValidation>
    <dataValidation type="list" allowBlank="1" showInputMessage="1" showErrorMessage="1" sqref="AG7" xr:uid="{9CE1C247-8B10-4F6B-AA22-E8EC52490CD9}">
      <formula1>$AK$1:$AK$7</formula1>
    </dataValidation>
    <dataValidation type="list" allowBlank="1" showInputMessage="1" showErrorMessage="1" sqref="B73 B31 B53 B61" xr:uid="{FD25C4A5-5BD7-46BE-9881-C35A30E1AB23}">
      <formula1>$AL$5:$AL$7</formula1>
    </dataValidation>
    <dataValidation type="list" allowBlank="1" showInputMessage="1" showErrorMessage="1" sqref="B12 B75 B77 B15 B83 B79 B25 B28 B33 B87:B95 B71 B63:B68 B85 B45:B52 B37 B41 B21 B55:B60 B18 B81 B97 B99 B101" xr:uid="{E92A98E1-5BED-4C8F-ADE4-1C915BBAB041}">
      <formula1>$AL$5:$AL$9</formula1>
    </dataValidation>
    <dataValidation type="list" allowBlank="1" showInputMessage="1" showErrorMessage="1" sqref="AG9" xr:uid="{EF525A68-CA7E-490C-9D92-F0242A4E4A1E}">
      <formula1>$AJ$1:$AJ$3</formula1>
    </dataValidation>
  </dataValidations>
  <pageMargins left="0.25" right="0.25" top="0.25" bottom="0.25" header="0.05" footer="0.3"/>
  <pageSetup scale="6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BJ308"/>
  <sheetViews>
    <sheetView showGridLines="0" tabSelected="1" zoomScale="99" zoomScaleNormal="99" workbookViewId="0">
      <pane ySplit="13" topLeftCell="A25" activePane="bottomLeft" state="frozen"/>
      <selection pane="bottomLeft" activeCell="B25" sqref="B25"/>
    </sheetView>
  </sheetViews>
  <sheetFormatPr defaultRowHeight="12.75" x14ac:dyDescent="0.2"/>
  <cols>
    <col min="1" max="1" width="14.85546875" style="12" customWidth="1"/>
    <col min="2" max="2" width="16.42578125" customWidth="1"/>
    <col min="3" max="3" width="6.28515625" bestFit="1" customWidth="1"/>
    <col min="4" max="16" width="4.7109375" customWidth="1"/>
    <col min="17" max="17" width="5.28515625" customWidth="1"/>
    <col min="18" max="18" width="4.7109375" customWidth="1"/>
    <col min="19" max="19" width="5.42578125" customWidth="1"/>
    <col min="20" max="29" width="4.7109375" customWidth="1"/>
    <col min="30" max="30" width="11" customWidth="1"/>
    <col min="31" max="31" width="13.42578125" style="20" customWidth="1"/>
    <col min="32" max="32" width="14.85546875" customWidth="1"/>
    <col min="33" max="33" width="24.42578125" customWidth="1"/>
    <col min="42" max="60" width="9.140625" style="9" customWidth="1"/>
  </cols>
  <sheetData>
    <row r="1" spans="1:62" s="1" customFormat="1" ht="13.15" customHeight="1" x14ac:dyDescent="0.2">
      <c r="A1" s="70"/>
      <c r="B1" s="1168" t="str">
        <f>'NEW SHOES'!E1</f>
        <v>FALL 2026 PROGRAM NEW SHOES</v>
      </c>
      <c r="C1" s="1169"/>
      <c r="D1" s="1169"/>
      <c r="E1" s="1169"/>
      <c r="F1" s="1169"/>
      <c r="G1" s="1169"/>
      <c r="H1" s="1169"/>
      <c r="I1" s="1169"/>
      <c r="J1" s="1169"/>
      <c r="K1" s="1169"/>
      <c r="L1" s="1169"/>
      <c r="M1" s="1169"/>
      <c r="N1" s="1169"/>
      <c r="O1" s="1169"/>
      <c r="P1" s="1169"/>
      <c r="Q1" s="1169"/>
      <c r="R1" s="1169"/>
      <c r="S1" s="1169"/>
      <c r="T1" s="1169"/>
      <c r="U1" s="1169"/>
      <c r="V1" s="1169"/>
      <c r="W1" s="1169"/>
      <c r="X1" s="1169"/>
      <c r="Y1" s="1169"/>
      <c r="Z1" s="1169"/>
      <c r="AA1" s="1169"/>
      <c r="AB1" s="1170"/>
      <c r="AC1"/>
      <c r="AD1" s="52"/>
      <c r="AE1" s="19"/>
      <c r="AF1" s="48"/>
      <c r="AG1" s="9"/>
      <c r="AH1" s="5"/>
      <c r="AI1" s="5"/>
      <c r="AJ1" s="5"/>
      <c r="AK1" s="5"/>
      <c r="AL1" s="5"/>
      <c r="AM1" s="5"/>
      <c r="AN1" s="5"/>
      <c r="AO1" s="5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5"/>
      <c r="BJ1" s="5"/>
    </row>
    <row r="2" spans="1:62" s="1" customFormat="1" ht="21" customHeight="1" thickBot="1" x14ac:dyDescent="0.4">
      <c r="A2" s="70"/>
      <c r="B2" s="1171"/>
      <c r="C2" s="1172"/>
      <c r="D2" s="1172"/>
      <c r="E2" s="1172"/>
      <c r="F2" s="1172"/>
      <c r="G2" s="1172"/>
      <c r="H2" s="1172"/>
      <c r="I2" s="1172"/>
      <c r="J2" s="1172"/>
      <c r="K2" s="1172"/>
      <c r="L2" s="1172"/>
      <c r="M2" s="1172"/>
      <c r="N2" s="1172"/>
      <c r="O2" s="1172"/>
      <c r="P2" s="1172"/>
      <c r="Q2" s="1172"/>
      <c r="R2" s="1172"/>
      <c r="S2" s="1172"/>
      <c r="T2" s="1172"/>
      <c r="U2" s="1172"/>
      <c r="V2" s="1172"/>
      <c r="W2" s="1172"/>
      <c r="X2" s="1172"/>
      <c r="Y2" s="1172"/>
      <c r="Z2" s="1172"/>
      <c r="AA2" s="1172"/>
      <c r="AB2" s="1173"/>
      <c r="AC2"/>
      <c r="AD2" s="48"/>
      <c r="AE2" s="19"/>
      <c r="AF2" s="48"/>
      <c r="AG2" s="9"/>
      <c r="AH2" s="1167" t="s">
        <v>73</v>
      </c>
      <c r="AI2" s="1167"/>
      <c r="AJ2" s="1167"/>
      <c r="AK2" s="5"/>
      <c r="AL2" s="5"/>
      <c r="AM2" s="5"/>
      <c r="AN2" s="5"/>
      <c r="AO2" s="5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5"/>
      <c r="BJ2" s="5"/>
    </row>
    <row r="3" spans="1:62" s="1" customFormat="1" ht="15" customHeight="1" thickBot="1" x14ac:dyDescent="0.4">
      <c r="A3" s="70"/>
      <c r="B3" s="305"/>
      <c r="C3" s="301"/>
      <c r="D3" s="301"/>
      <c r="E3" s="301"/>
      <c r="F3" s="301"/>
      <c r="G3" s="301"/>
      <c r="H3" s="301"/>
      <c r="I3" s="301"/>
      <c r="J3" s="301"/>
      <c r="K3" s="1134" t="str">
        <f>'NEW SHOES'!P3</f>
        <v>DOMESTIC-A</v>
      </c>
      <c r="L3" s="1135"/>
      <c r="M3" s="1135"/>
      <c r="N3" s="1135"/>
      <c r="O3" s="1136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2"/>
      <c r="AC3"/>
      <c r="AD3" s="48"/>
      <c r="AE3" s="19"/>
      <c r="AF3" s="48"/>
      <c r="AG3" s="9"/>
      <c r="AH3" s="300"/>
      <c r="AI3" s="300"/>
      <c r="AJ3" s="300"/>
      <c r="AK3" s="5"/>
      <c r="AL3" s="5"/>
      <c r="AM3" s="5"/>
      <c r="AN3" s="5"/>
      <c r="AO3" s="5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5"/>
      <c r="BJ3" s="5"/>
    </row>
    <row r="4" spans="1:62" s="1" customFormat="1" ht="16.5" thickBot="1" x14ac:dyDescent="0.25">
      <c r="A4" s="70"/>
      <c r="B4" s="1176" t="s">
        <v>5</v>
      </c>
      <c r="C4" s="1177"/>
      <c r="D4" s="1188">
        <f>'NEW SHOES'!F4</f>
        <v>0</v>
      </c>
      <c r="E4" s="1174"/>
      <c r="F4" s="1174"/>
      <c r="G4" s="1174"/>
      <c r="H4" s="1175"/>
      <c r="I4" s="45"/>
      <c r="J4" s="414"/>
      <c r="K4" s="414"/>
      <c r="L4" s="414"/>
      <c r="M4" s="5"/>
      <c r="N4" s="1184" t="s">
        <v>6</v>
      </c>
      <c r="O4" s="1185"/>
      <c r="P4" s="1186"/>
      <c r="Q4" s="1174">
        <f>'NEW SHOES'!P4</f>
        <v>0</v>
      </c>
      <c r="R4" s="1174"/>
      <c r="S4" s="1174"/>
      <c r="T4" s="1174"/>
      <c r="U4" s="1174"/>
      <c r="V4" s="1174"/>
      <c r="W4" s="1174"/>
      <c r="X4" s="1174"/>
      <c r="Y4" s="1174"/>
      <c r="Z4" s="1174"/>
      <c r="AA4" s="1174"/>
      <c r="AB4" s="1175"/>
      <c r="AC4" s="65"/>
      <c r="AD4" s="58" t="str">
        <f>'NEW SHOES'!W4</f>
        <v>NO</v>
      </c>
      <c r="AE4" s="1137" t="s">
        <v>74</v>
      </c>
      <c r="AF4" s="1138"/>
      <c r="AG4" s="5"/>
      <c r="AH4" s="125" t="s">
        <v>75</v>
      </c>
      <c r="AI4" s="3"/>
      <c r="AJ4" s="3"/>
      <c r="AK4" s="3"/>
      <c r="AL4" s="3"/>
      <c r="AM4" s="3"/>
      <c r="AN4" s="3"/>
      <c r="AO4" s="3"/>
      <c r="AP4" s="377"/>
      <c r="AQ4" s="377"/>
      <c r="AR4" s="377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5"/>
      <c r="BJ4" s="5"/>
    </row>
    <row r="5" spans="1:62" s="1" customFormat="1" ht="16.5" thickBot="1" x14ac:dyDescent="0.25">
      <c r="A5" s="70"/>
      <c r="B5" s="1178" t="s">
        <v>12</v>
      </c>
      <c r="C5" s="1122"/>
      <c r="D5" s="1179">
        <f>'NEW SHOES'!F5</f>
        <v>0</v>
      </c>
      <c r="E5" s="1180"/>
      <c r="F5" s="1180"/>
      <c r="G5" s="1180"/>
      <c r="H5" s="1181"/>
      <c r="I5" s="415"/>
      <c r="J5" s="415"/>
      <c r="K5" s="415"/>
      <c r="L5" s="415"/>
      <c r="M5" s="5"/>
      <c r="N5" s="1184" t="s">
        <v>13</v>
      </c>
      <c r="O5" s="1185"/>
      <c r="P5" s="1187"/>
      <c r="Q5" s="1104">
        <f>'NEW SHOES'!P5</f>
        <v>0</v>
      </c>
      <c r="R5" s="1104"/>
      <c r="S5" s="1104"/>
      <c r="T5" s="1104"/>
      <c r="U5" s="1104"/>
      <c r="V5" s="1104"/>
      <c r="W5" s="1104"/>
      <c r="X5" s="1104"/>
      <c r="Y5" s="1104"/>
      <c r="Z5" s="1104"/>
      <c r="AA5" s="1104"/>
      <c r="AB5" s="1152"/>
      <c r="AC5" s="65"/>
      <c r="AD5" s="48"/>
      <c r="AE5" s="1139"/>
      <c r="AF5" s="1140"/>
      <c r="AG5" s="9"/>
      <c r="AH5" s="125" t="s">
        <v>76</v>
      </c>
      <c r="AI5" s="3"/>
      <c r="AJ5" s="3"/>
      <c r="AK5" s="3"/>
      <c r="AL5" s="3"/>
      <c r="AM5" s="3"/>
      <c r="AN5" s="3"/>
      <c r="AO5" s="3"/>
      <c r="AP5" s="377"/>
      <c r="AQ5" s="377"/>
      <c r="AR5" s="377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5"/>
      <c r="BJ5" s="5"/>
    </row>
    <row r="6" spans="1:62" s="1" customFormat="1" ht="16.5" thickBot="1" x14ac:dyDescent="0.25">
      <c r="A6" s="70"/>
      <c r="B6" s="1182" t="s">
        <v>18</v>
      </c>
      <c r="C6" s="1183"/>
      <c r="D6" s="1189" t="str">
        <f>'NEW SHOES'!F6</f>
        <v xml:space="preserve">F26 A </v>
      </c>
      <c r="E6" s="1189"/>
      <c r="F6" s="1189"/>
      <c r="G6" s="1189"/>
      <c r="H6" s="1190"/>
      <c r="I6" s="70"/>
      <c r="J6" s="70"/>
      <c r="K6" s="70"/>
      <c r="L6" s="70"/>
      <c r="M6" s="5"/>
      <c r="N6" s="1184" t="s">
        <v>77</v>
      </c>
      <c r="O6" s="1185"/>
      <c r="P6" s="1187"/>
      <c r="Q6" s="1104">
        <f>'NEW SHOES'!P6</f>
        <v>0</v>
      </c>
      <c r="R6" s="1104"/>
      <c r="S6" s="1104"/>
      <c r="T6" s="1104"/>
      <c r="U6" s="1104"/>
      <c r="V6" s="1104"/>
      <c r="W6" s="1104"/>
      <c r="X6" s="1104"/>
      <c r="Y6" s="1104"/>
      <c r="Z6" s="1104"/>
      <c r="AA6" s="1104"/>
      <c r="AB6" s="1152"/>
      <c r="AC6" s="65"/>
      <c r="AD6" s="1144" t="s">
        <v>78</v>
      </c>
      <c r="AE6" s="1145"/>
      <c r="AF6" s="297">
        <f>AD304</f>
        <v>0</v>
      </c>
      <c r="AG6" s="9"/>
      <c r="AH6" s="125" t="s">
        <v>79</v>
      </c>
      <c r="AI6" s="5"/>
      <c r="AJ6" s="5"/>
      <c r="AK6" s="5"/>
      <c r="AL6" s="5"/>
      <c r="AM6" s="5"/>
      <c r="AN6" s="5"/>
      <c r="AO6" s="2"/>
      <c r="AP6" s="378"/>
      <c r="AQ6" s="378"/>
      <c r="AR6" s="378"/>
      <c r="AS6" s="378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5"/>
      <c r="BJ6" s="5"/>
    </row>
    <row r="7" spans="1:62" s="1" customFormat="1" ht="16.5" thickBot="1" x14ac:dyDescent="0.3">
      <c r="A7" s="70"/>
      <c r="B7" s="5"/>
      <c r="C7" s="5"/>
      <c r="D7" s="5"/>
      <c r="E7" s="5"/>
      <c r="F7" s="5"/>
      <c r="G7" s="5"/>
      <c r="H7" s="5"/>
      <c r="I7" s="45"/>
      <c r="J7" s="45"/>
      <c r="K7" s="45"/>
      <c r="L7" s="45"/>
      <c r="M7" s="5"/>
      <c r="N7" s="284"/>
      <c r="O7" s="1153" t="s">
        <v>80</v>
      </c>
      <c r="P7" s="1154"/>
      <c r="Q7" s="1104">
        <f>'NEW SHOES'!P7</f>
        <v>0</v>
      </c>
      <c r="R7" s="1104"/>
      <c r="S7" s="1104"/>
      <c r="T7" s="1104"/>
      <c r="U7" s="1104"/>
      <c r="V7" s="1104"/>
      <c r="W7" s="1104"/>
      <c r="X7" s="1104"/>
      <c r="Y7" s="1104"/>
      <c r="Z7" s="1104"/>
      <c r="AA7" s="1104"/>
      <c r="AB7" s="1152"/>
      <c r="AC7" s="65"/>
      <c r="AD7" s="1141" t="s">
        <v>81</v>
      </c>
      <c r="AE7" s="1142"/>
      <c r="AF7" s="298">
        <f>AF304</f>
        <v>0</v>
      </c>
      <c r="AG7" s="5"/>
      <c r="AH7" s="125" t="s">
        <v>82</v>
      </c>
      <c r="AI7" s="127"/>
      <c r="AJ7" s="5"/>
      <c r="AK7" s="5"/>
      <c r="AL7" s="5"/>
      <c r="AM7" s="5"/>
      <c r="AN7" s="5"/>
      <c r="AO7" s="112"/>
      <c r="AP7" s="379"/>
      <c r="AQ7" s="379"/>
      <c r="AR7" s="379"/>
      <c r="AS7" s="379"/>
      <c r="AT7" s="37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5"/>
      <c r="BJ7" s="5"/>
    </row>
    <row r="8" spans="1:62" s="1" customFormat="1" ht="16.5" thickBot="1" x14ac:dyDescent="0.3">
      <c r="A8" s="599"/>
      <c r="B8" s="5"/>
      <c r="C8" s="5"/>
      <c r="D8" s="27"/>
      <c r="E8" s="1143"/>
      <c r="F8" s="1143"/>
      <c r="G8" s="1143"/>
      <c r="H8" s="1143"/>
      <c r="I8" s="1143"/>
      <c r="J8" s="1143"/>
      <c r="K8" s="1143"/>
      <c r="L8" s="1143"/>
      <c r="M8" s="5"/>
      <c r="N8" s="285"/>
      <c r="O8" s="1121" t="s">
        <v>83</v>
      </c>
      <c r="P8" s="1122"/>
      <c r="Q8" s="1123">
        <f>'NEW SHOES'!P8</f>
        <v>0</v>
      </c>
      <c r="R8" s="1124"/>
      <c r="S8" s="1124"/>
      <c r="T8" s="1147" t="s">
        <v>31</v>
      </c>
      <c r="U8" s="1147"/>
      <c r="V8" s="1148">
        <f>'NEW SHOES'!U8</f>
        <v>0</v>
      </c>
      <c r="W8" s="1149"/>
      <c r="X8" s="1149"/>
      <c r="Y8" s="1150"/>
      <c r="Z8" s="1150"/>
      <c r="AA8" s="1150"/>
      <c r="AB8" s="1151"/>
      <c r="AC8" s="65"/>
      <c r="AD8" s="45"/>
      <c r="AE8" s="416"/>
      <c r="AF8" s="417"/>
      <c r="AG8" s="5"/>
      <c r="AH8" s="126"/>
      <c r="AI8" s="5"/>
      <c r="AJ8" s="112" t="s">
        <v>84</v>
      </c>
      <c r="AK8" s="127"/>
      <c r="AL8" s="112"/>
      <c r="AM8" s="112"/>
      <c r="AN8" s="112"/>
      <c r="AO8" s="5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5"/>
      <c r="BJ8" s="5"/>
    </row>
    <row r="9" spans="1:62" s="1" customFormat="1" ht="16.5" customHeight="1" thickBot="1" x14ac:dyDescent="0.3">
      <c r="A9" s="1161" t="s">
        <v>297</v>
      </c>
      <c r="B9" s="1162"/>
      <c r="C9" s="419"/>
      <c r="D9" s="27"/>
      <c r="E9" s="1143"/>
      <c r="F9" s="1143"/>
      <c r="G9" s="1125"/>
      <c r="H9" s="1125"/>
      <c r="I9" s="1125"/>
      <c r="J9" s="1125"/>
      <c r="K9" s="1125"/>
      <c r="L9" s="1125"/>
      <c r="M9" s="1125"/>
      <c r="N9" s="1125"/>
      <c r="O9" s="1125"/>
      <c r="P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5"/>
      <c r="AD9" s="5"/>
      <c r="AE9" s="5"/>
      <c r="AF9" s="5"/>
      <c r="AG9" s="24"/>
      <c r="AH9" s="5"/>
      <c r="AI9" s="5"/>
      <c r="AJ9" s="127" t="s">
        <v>85</v>
      </c>
      <c r="AK9" s="5"/>
      <c r="AL9" s="5"/>
      <c r="AM9" s="5"/>
      <c r="AN9" s="5"/>
      <c r="AO9" s="5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5"/>
      <c r="BJ9" s="5"/>
    </row>
    <row r="10" spans="1:62" s="1" customFormat="1" ht="21" thickBot="1" x14ac:dyDescent="0.35">
      <c r="A10" s="1163"/>
      <c r="B10" s="1164"/>
      <c r="C10" s="1126" t="s">
        <v>298</v>
      </c>
      <c r="D10" s="1127"/>
      <c r="E10" s="1127"/>
      <c r="F10" s="1127"/>
      <c r="G10" s="1127"/>
      <c r="H10" s="1127"/>
      <c r="I10" s="1127"/>
      <c r="J10" s="1127"/>
      <c r="K10" s="1127"/>
      <c r="L10" s="1127"/>
      <c r="M10" s="1127"/>
      <c r="N10" s="1127"/>
      <c r="O10" s="1127"/>
      <c r="P10" s="1127"/>
      <c r="Q10" s="1127"/>
      <c r="R10" s="1127"/>
      <c r="S10" s="1127"/>
      <c r="T10" s="1127"/>
      <c r="U10" s="1127"/>
      <c r="V10" s="1127"/>
      <c r="W10" s="1127"/>
      <c r="X10" s="1127"/>
      <c r="Y10" s="1127"/>
      <c r="Z10" s="1127"/>
      <c r="AA10" s="1127"/>
      <c r="AB10" s="1128"/>
      <c r="AC10" s="1159" t="s">
        <v>86</v>
      </c>
      <c r="AD10" s="1160"/>
      <c r="AE10" s="1157">
        <f>'NEW SHOES'!AG7</f>
        <v>0</v>
      </c>
      <c r="AF10" s="1158"/>
      <c r="AG10" s="5"/>
      <c r="AH10" s="5"/>
      <c r="AI10" s="128" t="s">
        <v>21</v>
      </c>
      <c r="AJ10" s="5"/>
      <c r="AK10" s="5"/>
      <c r="AL10" s="5"/>
      <c r="AM10" s="5"/>
      <c r="AN10" s="5"/>
      <c r="AO10" s="5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5"/>
      <c r="BJ10" s="5"/>
    </row>
    <row r="11" spans="1:62" s="1" customFormat="1" ht="13.5" customHeight="1" thickBot="1" x14ac:dyDescent="0.3">
      <c r="A11" s="1165"/>
      <c r="B11" s="1166"/>
      <c r="C11" s="1129" t="s">
        <v>302</v>
      </c>
      <c r="D11" s="1130"/>
      <c r="E11" s="1130"/>
      <c r="F11" s="1130"/>
      <c r="G11" s="1130"/>
      <c r="H11" s="1130"/>
      <c r="I11" s="1130"/>
      <c r="J11" s="1130"/>
      <c r="K11" s="1130"/>
      <c r="L11" s="1130"/>
      <c r="M11" s="1130"/>
      <c r="N11" s="1130"/>
      <c r="O11" s="1130"/>
      <c r="P11" s="1130"/>
      <c r="Q11" s="1130"/>
      <c r="R11" s="1130"/>
      <c r="S11" s="1130"/>
      <c r="T11" s="1130"/>
      <c r="U11" s="1130"/>
      <c r="V11" s="1130"/>
      <c r="W11" s="1130"/>
      <c r="X11" s="1130"/>
      <c r="Y11" s="1130"/>
      <c r="Z11" s="1130"/>
      <c r="AA11" s="1130"/>
      <c r="AB11" s="1131"/>
      <c r="AC11" s="1155" t="s">
        <v>87</v>
      </c>
      <c r="AD11" s="1156"/>
      <c r="AE11" s="1119">
        <f>'NEW SHOES'!AG9</f>
        <v>0</v>
      </c>
      <c r="AF11" s="1120"/>
      <c r="AG11" s="24"/>
      <c r="AH11" s="5"/>
      <c r="AI11" s="5"/>
      <c r="AJ11" s="5"/>
      <c r="AK11" s="27"/>
      <c r="AL11" s="5"/>
      <c r="AM11" s="5"/>
      <c r="AN11" s="5"/>
      <c r="AO11" s="5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5"/>
      <c r="BJ11" s="5"/>
    </row>
    <row r="12" spans="1:62" s="1" customFormat="1" ht="13.5" customHeight="1" thickBot="1" x14ac:dyDescent="0.3">
      <c r="A12" s="1132" t="s">
        <v>88</v>
      </c>
      <c r="B12" s="1133"/>
      <c r="C12" s="596"/>
      <c r="D12" s="597"/>
      <c r="E12" s="597"/>
      <c r="F12" s="597"/>
      <c r="G12" s="597"/>
      <c r="H12" s="597"/>
      <c r="I12" s="597"/>
      <c r="J12" s="597"/>
      <c r="K12" s="597"/>
      <c r="L12" s="597"/>
      <c r="M12" s="597"/>
      <c r="N12" s="597"/>
      <c r="O12" s="597"/>
      <c r="P12" s="597"/>
      <c r="Q12" s="597"/>
      <c r="R12" s="597"/>
      <c r="S12" s="597"/>
      <c r="T12" s="597"/>
      <c r="U12" s="597"/>
      <c r="V12" s="597"/>
      <c r="W12" s="597"/>
      <c r="X12" s="597"/>
      <c r="Y12" s="597"/>
      <c r="Z12" s="597"/>
      <c r="AA12" s="597"/>
      <c r="AB12" s="598"/>
      <c r="AC12" s="5"/>
      <c r="AD12" s="1146"/>
      <c r="AE12" s="1146"/>
      <c r="AF12" s="68"/>
      <c r="AG12" s="5"/>
      <c r="AH12" s="5"/>
      <c r="AI12" s="5"/>
      <c r="AJ12" s="5"/>
      <c r="AK12" s="5"/>
      <c r="AL12" s="5"/>
      <c r="AM12" s="5"/>
      <c r="AN12" s="5"/>
      <c r="AO12" s="5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5"/>
      <c r="BJ12" s="5"/>
    </row>
    <row r="13" spans="1:62" s="112" customFormat="1" ht="15.75" thickBot="1" x14ac:dyDescent="0.3">
      <c r="A13" s="238" t="s">
        <v>89</v>
      </c>
      <c r="B13" s="235" t="s">
        <v>39</v>
      </c>
      <c r="C13" s="235" t="s">
        <v>40</v>
      </c>
      <c r="D13" s="88">
        <v>1</v>
      </c>
      <c r="E13" s="88">
        <v>2</v>
      </c>
      <c r="F13" s="88">
        <v>3</v>
      </c>
      <c r="G13" s="88">
        <v>4</v>
      </c>
      <c r="H13" s="88">
        <v>4.5</v>
      </c>
      <c r="I13" s="88">
        <v>5</v>
      </c>
      <c r="J13" s="88">
        <v>5.5</v>
      </c>
      <c r="K13" s="88">
        <v>6</v>
      </c>
      <c r="L13" s="88">
        <v>6.5</v>
      </c>
      <c r="M13" s="88">
        <v>7</v>
      </c>
      <c r="N13" s="88">
        <v>7.5</v>
      </c>
      <c r="O13" s="88">
        <v>8</v>
      </c>
      <c r="P13" s="88">
        <v>8.5</v>
      </c>
      <c r="Q13" s="88">
        <v>9</v>
      </c>
      <c r="R13" s="88">
        <v>9.5</v>
      </c>
      <c r="S13" s="239">
        <v>10</v>
      </c>
      <c r="T13" s="240">
        <v>10.5</v>
      </c>
      <c r="U13" s="239">
        <v>11</v>
      </c>
      <c r="V13" s="240">
        <v>11.5</v>
      </c>
      <c r="W13" s="88">
        <v>12</v>
      </c>
      <c r="X13" s="88">
        <v>13</v>
      </c>
      <c r="Y13" s="88">
        <v>14</v>
      </c>
      <c r="Z13" s="88">
        <v>15</v>
      </c>
      <c r="AA13" s="88">
        <v>16</v>
      </c>
      <c r="AB13" s="88">
        <v>17</v>
      </c>
      <c r="AC13" s="88">
        <v>18</v>
      </c>
      <c r="AD13" s="88" t="s">
        <v>90</v>
      </c>
      <c r="AE13" s="241" t="s">
        <v>63</v>
      </c>
      <c r="AF13" s="89" t="s">
        <v>91</v>
      </c>
      <c r="AG13" s="380"/>
      <c r="AK13" s="107" t="s">
        <v>242</v>
      </c>
      <c r="AN13" s="5"/>
      <c r="AP13" s="379"/>
      <c r="AQ13" s="379"/>
      <c r="AR13" s="379"/>
      <c r="AS13" s="379"/>
      <c r="AT13" s="379"/>
      <c r="AU13" s="379"/>
      <c r="AV13" s="379"/>
      <c r="AW13" s="379"/>
      <c r="AX13" s="379"/>
      <c r="AY13" s="379"/>
      <c r="AZ13" s="379"/>
      <c r="BA13" s="379"/>
      <c r="BB13" s="379"/>
      <c r="BC13" s="379"/>
      <c r="BD13" s="379"/>
      <c r="BE13" s="379"/>
      <c r="BF13" s="379"/>
      <c r="BG13" s="379"/>
      <c r="BH13" s="379"/>
    </row>
    <row r="14" spans="1:62" s="3" customFormat="1" ht="14.25" customHeight="1" x14ac:dyDescent="0.2">
      <c r="A14" s="786"/>
      <c r="B14" s="420"/>
      <c r="C14" s="421"/>
      <c r="D14" s="422"/>
      <c r="E14" s="422"/>
      <c r="F14" s="422"/>
      <c r="G14" s="422"/>
      <c r="H14" s="422"/>
      <c r="I14" s="422"/>
      <c r="J14" s="422"/>
      <c r="K14" s="422"/>
      <c r="L14" s="422"/>
      <c r="M14" s="422"/>
      <c r="N14" s="422"/>
      <c r="O14" s="422"/>
      <c r="P14" s="422"/>
      <c r="Q14" s="422"/>
      <c r="R14" s="422"/>
      <c r="S14" s="422"/>
      <c r="T14" s="422"/>
      <c r="U14" s="422"/>
      <c r="V14" s="422"/>
      <c r="W14" s="422"/>
      <c r="X14" s="422"/>
      <c r="Y14" s="422"/>
      <c r="Z14" s="422"/>
      <c r="AA14" s="422"/>
      <c r="AB14" s="422"/>
      <c r="AC14" s="422"/>
      <c r="AD14" s="217">
        <f t="shared" ref="AD14:AD94" si="0">SUM(D14:AC14)</f>
        <v>0</v>
      </c>
      <c r="AE14" s="600"/>
      <c r="AF14" s="218">
        <f>AD14*AE14</f>
        <v>0</v>
      </c>
      <c r="AG14" s="626"/>
      <c r="AJ14" s="128" t="s">
        <v>26</v>
      </c>
      <c r="AK14" s="955">
        <v>2746</v>
      </c>
      <c r="AL14" s="306"/>
      <c r="AN14" s="306"/>
      <c r="AP14" s="377"/>
      <c r="AQ14" s="377"/>
      <c r="AR14" s="377"/>
      <c r="AS14" s="377"/>
      <c r="AT14" s="377"/>
      <c r="AU14" s="377"/>
      <c r="AV14" s="377"/>
      <c r="AW14" s="377"/>
      <c r="AX14" s="377"/>
      <c r="AY14" s="377"/>
      <c r="AZ14" s="377"/>
      <c r="BA14" s="377"/>
      <c r="BB14" s="377"/>
      <c r="BC14" s="377"/>
      <c r="BD14" s="377"/>
      <c r="BE14" s="377"/>
      <c r="BF14" s="377"/>
      <c r="BG14" s="377"/>
      <c r="BH14" s="377"/>
      <c r="BI14" s="106"/>
      <c r="BJ14" s="106"/>
    </row>
    <row r="15" spans="1:62" s="3" customFormat="1" ht="14.25" x14ac:dyDescent="0.2">
      <c r="A15" s="423"/>
      <c r="B15" s="423" t="s">
        <v>319</v>
      </c>
      <c r="C15" s="424"/>
      <c r="D15" s="424"/>
      <c r="E15" s="424"/>
      <c r="F15" s="424"/>
      <c r="G15" s="424"/>
      <c r="H15" s="424"/>
      <c r="I15" s="424"/>
      <c r="J15" s="424"/>
      <c r="K15" s="424"/>
      <c r="L15" s="424"/>
      <c r="M15" s="424"/>
      <c r="N15" s="424"/>
      <c r="O15" s="424"/>
      <c r="P15" s="424"/>
      <c r="Q15" s="424"/>
      <c r="R15" s="424"/>
      <c r="S15" s="424"/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219">
        <f t="shared" si="0"/>
        <v>0</v>
      </c>
      <c r="AE15" s="601"/>
      <c r="AF15" s="220">
        <f t="shared" ref="AF15:AF78" si="1">AD15*AE15</f>
        <v>0</v>
      </c>
      <c r="AG15" s="465"/>
      <c r="AJ15" s="17" t="s">
        <v>32</v>
      </c>
      <c r="AK15" s="955">
        <v>3263</v>
      </c>
      <c r="AL15" s="306"/>
      <c r="AN15" s="306"/>
      <c r="AP15" s="377"/>
      <c r="AQ15" s="377"/>
      <c r="AR15" s="377"/>
      <c r="AS15" s="377"/>
      <c r="AT15" s="377"/>
      <c r="AU15" s="377"/>
      <c r="AV15" s="377"/>
      <c r="AW15" s="377"/>
      <c r="AX15" s="377"/>
      <c r="AY15" s="377"/>
      <c r="AZ15" s="377"/>
      <c r="BA15" s="377"/>
      <c r="BB15" s="377"/>
      <c r="BC15" s="377"/>
      <c r="BD15" s="377"/>
      <c r="BE15" s="377"/>
      <c r="BF15" s="377"/>
      <c r="BG15" s="377"/>
      <c r="BH15" s="377"/>
    </row>
    <row r="16" spans="1:62" s="3" customFormat="1" ht="14.25" x14ac:dyDescent="0.2">
      <c r="A16" s="425"/>
      <c r="B16" s="425"/>
      <c r="C16" s="426"/>
      <c r="D16" s="426"/>
      <c r="E16" s="426"/>
      <c r="F16" s="426"/>
      <c r="G16" s="426"/>
      <c r="H16" s="426"/>
      <c r="I16" s="426"/>
      <c r="J16" s="426"/>
      <c r="K16" s="426"/>
      <c r="L16" s="426"/>
      <c r="M16" s="426"/>
      <c r="N16" s="426"/>
      <c r="O16" s="426"/>
      <c r="P16" s="426"/>
      <c r="Q16" s="426"/>
      <c r="R16" s="426"/>
      <c r="S16" s="426"/>
      <c r="T16" s="426"/>
      <c r="U16" s="426"/>
      <c r="V16" s="426"/>
      <c r="W16" s="426"/>
      <c r="X16" s="426"/>
      <c r="Y16" s="426"/>
      <c r="Z16" s="426"/>
      <c r="AA16" s="426"/>
      <c r="AB16" s="426"/>
      <c r="AC16" s="426"/>
      <c r="AD16" s="161">
        <f t="shared" si="0"/>
        <v>0</v>
      </c>
      <c r="AE16" s="602"/>
      <c r="AF16" s="160">
        <f t="shared" si="1"/>
        <v>0</v>
      </c>
      <c r="AG16" s="627"/>
      <c r="AJ16" s="17" t="s">
        <v>35</v>
      </c>
      <c r="AK16" s="955">
        <v>3264</v>
      </c>
      <c r="AL16" s="306"/>
      <c r="AN16" s="306"/>
      <c r="AP16" s="377"/>
      <c r="AQ16" s="377"/>
      <c r="AR16" s="377"/>
      <c r="AS16" s="377"/>
      <c r="AT16" s="377"/>
      <c r="AU16" s="377"/>
      <c r="AV16" s="377"/>
      <c r="AW16" s="377"/>
      <c r="AX16" s="377"/>
      <c r="AY16" s="377"/>
      <c r="AZ16" s="377"/>
      <c r="BA16" s="377"/>
      <c r="BB16" s="377"/>
      <c r="BC16" s="377"/>
      <c r="BD16" s="377"/>
      <c r="BE16" s="377"/>
      <c r="BF16" s="377"/>
      <c r="BG16" s="377"/>
      <c r="BH16" s="377"/>
    </row>
    <row r="17" spans="1:60" s="3" customFormat="1" ht="14.25" x14ac:dyDescent="0.2">
      <c r="A17" s="423"/>
      <c r="B17" s="423"/>
      <c r="C17" s="424"/>
      <c r="D17" s="424"/>
      <c r="E17" s="424"/>
      <c r="F17" s="424"/>
      <c r="G17" s="424"/>
      <c r="H17" s="424"/>
      <c r="I17" s="424"/>
      <c r="J17" s="424"/>
      <c r="K17" s="424"/>
      <c r="L17" s="424"/>
      <c r="M17" s="424"/>
      <c r="N17" s="424"/>
      <c r="O17" s="424"/>
      <c r="P17" s="424"/>
      <c r="Q17" s="424"/>
      <c r="R17" s="424"/>
      <c r="S17" s="424"/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219">
        <f t="shared" si="0"/>
        <v>0</v>
      </c>
      <c r="AE17" s="601"/>
      <c r="AF17" s="220">
        <f t="shared" si="1"/>
        <v>0</v>
      </c>
      <c r="AG17" s="465"/>
      <c r="AJ17" s="17" t="s">
        <v>72</v>
      </c>
      <c r="AK17" s="955">
        <v>3265</v>
      </c>
      <c r="AL17" s="306"/>
      <c r="AN17" s="306"/>
      <c r="AP17" s="377"/>
      <c r="AQ17" s="377"/>
      <c r="AR17" s="377"/>
      <c r="AS17" s="377"/>
      <c r="AT17" s="377"/>
      <c r="AU17" s="377"/>
      <c r="AV17" s="377"/>
      <c r="AW17" s="377"/>
      <c r="AX17" s="377"/>
      <c r="AY17" s="377"/>
      <c r="AZ17" s="377"/>
      <c r="BA17" s="377"/>
      <c r="BB17" s="377"/>
      <c r="BC17" s="377"/>
      <c r="BD17" s="377"/>
      <c r="BE17" s="377"/>
      <c r="BF17" s="377"/>
      <c r="BG17" s="377"/>
      <c r="BH17" s="377"/>
    </row>
    <row r="18" spans="1:60" s="3" customFormat="1" ht="15" x14ac:dyDescent="0.2">
      <c r="A18" s="425"/>
      <c r="B18" s="425"/>
      <c r="C18" s="426"/>
      <c r="D18" s="426"/>
      <c r="E18" s="426"/>
      <c r="F18" s="426"/>
      <c r="G18" s="426"/>
      <c r="H18" s="426"/>
      <c r="I18" s="426"/>
      <c r="J18" s="426"/>
      <c r="K18" s="426"/>
      <c r="L18" s="426"/>
      <c r="M18" s="426"/>
      <c r="N18" s="426"/>
      <c r="O18" s="426"/>
      <c r="P18" s="426"/>
      <c r="Q18" s="426"/>
      <c r="R18" s="426"/>
      <c r="S18" s="426"/>
      <c r="T18" s="426"/>
      <c r="U18" s="426"/>
      <c r="V18" s="426"/>
      <c r="W18" s="426"/>
      <c r="X18" s="426"/>
      <c r="Y18" s="426"/>
      <c r="Z18" s="426"/>
      <c r="AA18" s="426"/>
      <c r="AB18" s="426"/>
      <c r="AC18" s="426"/>
      <c r="AD18" s="161">
        <f t="shared" si="0"/>
        <v>0</v>
      </c>
      <c r="AE18" s="602"/>
      <c r="AF18" s="160">
        <f t="shared" si="1"/>
        <v>0</v>
      </c>
      <c r="AG18" s="627"/>
      <c r="AJ18" s="149" t="s">
        <v>68</v>
      </c>
      <c r="AK18" s="955">
        <v>3266</v>
      </c>
      <c r="AL18" s="306"/>
      <c r="AN18" s="306"/>
      <c r="AP18" s="377"/>
      <c r="AQ18" s="377"/>
      <c r="AR18" s="377"/>
      <c r="AS18" s="377"/>
      <c r="AT18" s="377"/>
      <c r="AU18" s="377"/>
      <c r="AV18" s="377"/>
      <c r="AW18" s="377"/>
      <c r="AX18" s="377"/>
      <c r="AY18" s="377"/>
      <c r="AZ18" s="377"/>
      <c r="BA18" s="377"/>
      <c r="BB18" s="377"/>
      <c r="BC18" s="377"/>
      <c r="BD18" s="377"/>
      <c r="BE18" s="377"/>
      <c r="BF18" s="377"/>
      <c r="BG18" s="377"/>
      <c r="BH18" s="377"/>
    </row>
    <row r="19" spans="1:60" s="3" customFormat="1" ht="15" x14ac:dyDescent="0.2">
      <c r="A19" s="423"/>
      <c r="B19" s="423"/>
      <c r="C19" s="424"/>
      <c r="D19" s="424"/>
      <c r="E19" s="424"/>
      <c r="F19" s="424"/>
      <c r="G19" s="424"/>
      <c r="H19" s="424"/>
      <c r="I19" s="424"/>
      <c r="J19" s="424"/>
      <c r="K19" s="424"/>
      <c r="L19" s="424"/>
      <c r="M19" s="424"/>
      <c r="N19" s="424"/>
      <c r="O19" s="424"/>
      <c r="P19" s="424"/>
      <c r="Q19" s="424"/>
      <c r="R19" s="424"/>
      <c r="S19" s="424"/>
      <c r="T19" s="424"/>
      <c r="U19" s="424"/>
      <c r="V19" s="424"/>
      <c r="W19" s="424"/>
      <c r="X19" s="424"/>
      <c r="Y19" s="424"/>
      <c r="Z19" s="424"/>
      <c r="AA19" s="424"/>
      <c r="AB19" s="424"/>
      <c r="AC19" s="424"/>
      <c r="AD19" s="219">
        <f t="shared" si="0"/>
        <v>0</v>
      </c>
      <c r="AE19" s="601"/>
      <c r="AF19" s="220">
        <f t="shared" si="1"/>
        <v>0</v>
      </c>
      <c r="AG19" s="465"/>
      <c r="AJ19" s="149" t="s">
        <v>92</v>
      </c>
      <c r="AK19" s="955">
        <v>3548</v>
      </c>
      <c r="AL19" s="306"/>
      <c r="AN19" s="306"/>
      <c r="AP19" s="377"/>
      <c r="AQ19" s="377"/>
      <c r="AR19" s="377"/>
      <c r="AS19" s="377"/>
      <c r="AT19" s="377"/>
      <c r="AU19" s="377"/>
      <c r="AV19" s="377"/>
      <c r="AW19" s="377"/>
      <c r="AX19" s="377"/>
      <c r="AY19" s="377"/>
      <c r="AZ19" s="377"/>
      <c r="BA19" s="377"/>
      <c r="BB19" s="377"/>
      <c r="BC19" s="377"/>
      <c r="BD19" s="377"/>
      <c r="BE19" s="377"/>
      <c r="BF19" s="377"/>
      <c r="BG19" s="377"/>
      <c r="BH19" s="377"/>
    </row>
    <row r="20" spans="1:60" s="3" customFormat="1" ht="15" x14ac:dyDescent="0.2">
      <c r="A20" s="425"/>
      <c r="B20" s="425"/>
      <c r="C20" s="426"/>
      <c r="D20" s="426"/>
      <c r="E20" s="426"/>
      <c r="F20" s="426"/>
      <c r="G20" s="426"/>
      <c r="H20" s="426"/>
      <c r="I20" s="426"/>
      <c r="J20" s="426"/>
      <c r="K20" s="426"/>
      <c r="L20" s="426"/>
      <c r="M20" s="426"/>
      <c r="N20" s="426"/>
      <c r="O20" s="426"/>
      <c r="P20" s="426"/>
      <c r="Q20" s="426"/>
      <c r="R20" s="426"/>
      <c r="S20" s="426"/>
      <c r="T20" s="426"/>
      <c r="U20" s="426"/>
      <c r="V20" s="426"/>
      <c r="W20" s="426"/>
      <c r="X20" s="426"/>
      <c r="Y20" s="426"/>
      <c r="Z20" s="426"/>
      <c r="AA20" s="426"/>
      <c r="AB20" s="426"/>
      <c r="AC20" s="426"/>
      <c r="AD20" s="161">
        <f t="shared" si="0"/>
        <v>0</v>
      </c>
      <c r="AE20" s="602"/>
      <c r="AF20" s="160">
        <f t="shared" si="1"/>
        <v>0</v>
      </c>
      <c r="AG20" s="627"/>
      <c r="AJ20" s="149" t="s">
        <v>69</v>
      </c>
      <c r="AK20" s="955">
        <v>3936</v>
      </c>
      <c r="AN20" s="306"/>
      <c r="AP20" s="377"/>
      <c r="AQ20" s="377"/>
      <c r="AR20" s="377"/>
      <c r="AS20" s="377"/>
      <c r="AT20" s="377"/>
      <c r="AU20" s="377"/>
      <c r="AV20" s="377"/>
      <c r="AW20" s="377"/>
      <c r="AX20" s="377"/>
      <c r="AY20" s="377"/>
      <c r="AZ20" s="377"/>
      <c r="BA20" s="377"/>
      <c r="BB20" s="377"/>
      <c r="BC20" s="377"/>
      <c r="BD20" s="377"/>
      <c r="BE20" s="377"/>
      <c r="BF20" s="377"/>
      <c r="BG20" s="377"/>
      <c r="BH20" s="377"/>
    </row>
    <row r="21" spans="1:60" s="3" customFormat="1" ht="15" x14ac:dyDescent="0.2">
      <c r="A21" s="423"/>
      <c r="B21" s="423"/>
      <c r="C21" s="424"/>
      <c r="D21" s="424"/>
      <c r="E21" s="424"/>
      <c r="F21" s="424"/>
      <c r="G21" s="424"/>
      <c r="H21" s="424"/>
      <c r="I21" s="424"/>
      <c r="J21" s="424"/>
      <c r="K21" s="424"/>
      <c r="L21" s="424"/>
      <c r="M21" s="424"/>
      <c r="N21" s="424"/>
      <c r="O21" s="424"/>
      <c r="P21" s="424"/>
      <c r="Q21" s="424"/>
      <c r="R21" s="424"/>
      <c r="S21" s="424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219">
        <f t="shared" si="0"/>
        <v>0</v>
      </c>
      <c r="AE21" s="601"/>
      <c r="AF21" s="220">
        <f t="shared" si="1"/>
        <v>0</v>
      </c>
      <c r="AG21" s="465"/>
      <c r="AJ21" s="149" t="s">
        <v>10</v>
      </c>
      <c r="AK21" s="955">
        <v>7000</v>
      </c>
      <c r="AN21" s="306"/>
      <c r="AP21" s="377"/>
      <c r="AQ21" s="377"/>
      <c r="AR21" s="377"/>
      <c r="AS21" s="377"/>
      <c r="AT21" s="377"/>
      <c r="AU21" s="377"/>
      <c r="AV21" s="377"/>
      <c r="AW21" s="377"/>
      <c r="AX21" s="377"/>
      <c r="AY21" s="377"/>
      <c r="AZ21" s="377"/>
      <c r="BA21" s="377"/>
      <c r="BB21" s="377"/>
      <c r="BC21" s="377"/>
      <c r="BD21" s="377"/>
      <c r="BE21" s="377"/>
      <c r="BF21" s="377"/>
      <c r="BG21" s="377"/>
      <c r="BH21" s="377"/>
    </row>
    <row r="22" spans="1:60" s="3" customFormat="1" ht="15" x14ac:dyDescent="0.2">
      <c r="A22" s="425"/>
      <c r="B22" s="425"/>
      <c r="C22" s="426"/>
      <c r="D22" s="426"/>
      <c r="E22" s="426"/>
      <c r="F22" s="426"/>
      <c r="G22" s="426"/>
      <c r="H22" s="426"/>
      <c r="I22" s="426"/>
      <c r="J22" s="426"/>
      <c r="K22" s="426"/>
      <c r="L22" s="426"/>
      <c r="M22" s="426"/>
      <c r="N22" s="426"/>
      <c r="O22" s="426"/>
      <c r="P22" s="426"/>
      <c r="Q22" s="426"/>
      <c r="R22" s="426"/>
      <c r="S22" s="426"/>
      <c r="T22" s="426"/>
      <c r="U22" s="426"/>
      <c r="V22" s="426"/>
      <c r="W22" s="426"/>
      <c r="X22" s="426"/>
      <c r="Y22" s="426"/>
      <c r="Z22" s="426"/>
      <c r="AA22" s="426"/>
      <c r="AB22" s="426"/>
      <c r="AC22" s="426"/>
      <c r="AD22" s="161">
        <f t="shared" si="0"/>
        <v>0</v>
      </c>
      <c r="AE22" s="602"/>
      <c r="AF22" s="160">
        <f t="shared" si="1"/>
        <v>0</v>
      </c>
      <c r="AG22" s="627"/>
      <c r="AJ22" s="149" t="s">
        <v>17</v>
      </c>
      <c r="AK22" s="955">
        <v>7172</v>
      </c>
      <c r="AN22" s="306"/>
      <c r="AP22" s="377"/>
      <c r="AQ22" s="377"/>
      <c r="AR22" s="377"/>
      <c r="AS22" s="377"/>
      <c r="AT22" s="377"/>
      <c r="AU22" s="377"/>
      <c r="AV22" s="377"/>
      <c r="AW22" s="377"/>
      <c r="AX22" s="377"/>
      <c r="AY22" s="377"/>
      <c r="AZ22" s="377"/>
      <c r="BA22" s="377"/>
      <c r="BB22" s="377"/>
      <c r="BC22" s="377"/>
      <c r="BD22" s="377"/>
      <c r="BE22" s="377"/>
      <c r="BF22" s="377"/>
      <c r="BG22" s="377"/>
      <c r="BH22" s="377"/>
    </row>
    <row r="23" spans="1:60" s="3" customFormat="1" ht="15" x14ac:dyDescent="0.2">
      <c r="A23" s="423"/>
      <c r="B23" s="423"/>
      <c r="C23" s="424"/>
      <c r="D23" s="424"/>
      <c r="E23" s="424"/>
      <c r="F23" s="424"/>
      <c r="G23" s="424"/>
      <c r="H23" s="424"/>
      <c r="I23" s="424"/>
      <c r="J23" s="424"/>
      <c r="K23" s="424"/>
      <c r="L23" s="424"/>
      <c r="M23" s="424"/>
      <c r="N23" s="424"/>
      <c r="O23" s="424"/>
      <c r="P23" s="424"/>
      <c r="Q23" s="424"/>
      <c r="R23" s="424"/>
      <c r="S23" s="424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219">
        <f t="shared" si="0"/>
        <v>0</v>
      </c>
      <c r="AE23" s="601"/>
      <c r="AF23" s="220">
        <f t="shared" si="1"/>
        <v>0</v>
      </c>
      <c r="AG23" s="465"/>
      <c r="AJ23" s="149" t="s">
        <v>70</v>
      </c>
      <c r="AK23" s="955">
        <v>7930</v>
      </c>
      <c r="AN23" s="306"/>
      <c r="AP23" s="377"/>
      <c r="AQ23" s="377"/>
      <c r="AR23" s="377"/>
      <c r="AS23" s="377"/>
      <c r="AT23" s="377"/>
      <c r="AU23" s="377"/>
      <c r="AV23" s="377"/>
      <c r="AW23" s="377"/>
      <c r="AX23" s="377"/>
      <c r="AY23" s="377"/>
      <c r="AZ23" s="377"/>
      <c r="BA23" s="377"/>
      <c r="BB23" s="377"/>
      <c r="BC23" s="377"/>
      <c r="BD23" s="377"/>
      <c r="BE23" s="377"/>
      <c r="BF23" s="377"/>
      <c r="BG23" s="377"/>
      <c r="BH23" s="377"/>
    </row>
    <row r="24" spans="1:60" s="3" customFormat="1" ht="15" x14ac:dyDescent="0.2">
      <c r="A24" s="425"/>
      <c r="B24" s="425"/>
      <c r="C24" s="426"/>
      <c r="D24" s="426"/>
      <c r="E24" s="426"/>
      <c r="F24" s="426"/>
      <c r="G24" s="426"/>
      <c r="H24" s="426"/>
      <c r="I24" s="426"/>
      <c r="J24" s="426"/>
      <c r="K24" s="426"/>
      <c r="L24" s="426"/>
      <c r="M24" s="426"/>
      <c r="N24" s="426"/>
      <c r="O24" s="426"/>
      <c r="P24" s="426"/>
      <c r="Q24" s="426"/>
      <c r="R24" s="426"/>
      <c r="S24" s="426"/>
      <c r="T24" s="426"/>
      <c r="U24" s="426"/>
      <c r="V24" s="426"/>
      <c r="W24" s="426"/>
      <c r="X24" s="426"/>
      <c r="Y24" s="426"/>
      <c r="Z24" s="426"/>
      <c r="AA24" s="426"/>
      <c r="AB24" s="426"/>
      <c r="AC24" s="426"/>
      <c r="AD24" s="161">
        <f t="shared" si="0"/>
        <v>0</v>
      </c>
      <c r="AE24" s="602"/>
      <c r="AF24" s="160">
        <f t="shared" si="1"/>
        <v>0</v>
      </c>
      <c r="AG24" s="627"/>
      <c r="AJ24" s="149" t="s">
        <v>21</v>
      </c>
      <c r="AK24" s="955">
        <v>7970</v>
      </c>
      <c r="AN24" s="306"/>
      <c r="AP24" s="377"/>
      <c r="AQ24" s="377"/>
      <c r="AR24" s="377"/>
      <c r="AS24" s="377"/>
      <c r="AT24" s="377"/>
      <c r="AU24" s="377"/>
      <c r="AV24" s="377"/>
      <c r="AW24" s="377"/>
      <c r="AX24" s="377"/>
      <c r="AY24" s="377"/>
      <c r="AZ24" s="377"/>
      <c r="BA24" s="377"/>
      <c r="BB24" s="377"/>
      <c r="BC24" s="377"/>
      <c r="BD24" s="377"/>
      <c r="BE24" s="377"/>
      <c r="BF24" s="377"/>
      <c r="BG24" s="377"/>
      <c r="BH24" s="377"/>
    </row>
    <row r="25" spans="1:60" s="3" customFormat="1" ht="15" x14ac:dyDescent="0.2">
      <c r="A25" s="423"/>
      <c r="B25" s="423"/>
      <c r="C25" s="424"/>
      <c r="D25" s="424"/>
      <c r="E25" s="424"/>
      <c r="F25" s="424"/>
      <c r="G25" s="424"/>
      <c r="H25" s="424"/>
      <c r="I25" s="424"/>
      <c r="J25" s="424"/>
      <c r="K25" s="424"/>
      <c r="L25" s="424"/>
      <c r="M25" s="424"/>
      <c r="N25" s="424"/>
      <c r="O25" s="424"/>
      <c r="P25" s="424"/>
      <c r="Q25" s="424"/>
      <c r="R25" s="424"/>
      <c r="S25" s="424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123">
        <f t="shared" si="0"/>
        <v>0</v>
      </c>
      <c r="AE25" s="603"/>
      <c r="AF25" s="113">
        <f t="shared" si="1"/>
        <v>0</v>
      </c>
      <c r="AG25" s="465"/>
      <c r="AJ25" s="149" t="s">
        <v>93</v>
      </c>
      <c r="AK25" s="955">
        <v>7971</v>
      </c>
      <c r="AN25" s="306"/>
      <c r="AP25" s="377"/>
      <c r="AQ25" s="377"/>
      <c r="AR25" s="377"/>
      <c r="AS25" s="377"/>
      <c r="AT25" s="377"/>
      <c r="AU25" s="377"/>
      <c r="AV25" s="377"/>
      <c r="AW25" s="377"/>
      <c r="AX25" s="377"/>
      <c r="AY25" s="377"/>
      <c r="AZ25" s="377"/>
      <c r="BA25" s="377"/>
      <c r="BB25" s="377"/>
      <c r="BC25" s="377"/>
      <c r="BD25" s="377"/>
      <c r="BE25" s="377"/>
      <c r="BF25" s="377"/>
      <c r="BG25" s="377"/>
      <c r="BH25" s="377"/>
    </row>
    <row r="26" spans="1:60" s="3" customFormat="1" ht="14.25" x14ac:dyDescent="0.2">
      <c r="A26" s="425"/>
      <c r="B26" s="425"/>
      <c r="C26" s="426"/>
      <c r="D26" s="426"/>
      <c r="E26" s="426"/>
      <c r="F26" s="426"/>
      <c r="G26" s="426"/>
      <c r="H26" s="426"/>
      <c r="I26" s="426"/>
      <c r="J26" s="426"/>
      <c r="K26" s="426"/>
      <c r="L26" s="426"/>
      <c r="M26" s="426"/>
      <c r="N26" s="426"/>
      <c r="O26" s="426"/>
      <c r="P26" s="426"/>
      <c r="Q26" s="426"/>
      <c r="R26" s="426"/>
      <c r="S26" s="426"/>
      <c r="T26" s="426"/>
      <c r="U26" s="426"/>
      <c r="V26" s="426"/>
      <c r="W26" s="426"/>
      <c r="X26" s="426"/>
      <c r="Y26" s="426"/>
      <c r="Z26" s="426"/>
      <c r="AA26" s="426"/>
      <c r="AB26" s="426"/>
      <c r="AC26" s="426"/>
      <c r="AD26" s="161">
        <f t="shared" si="0"/>
        <v>0</v>
      </c>
      <c r="AE26" s="602"/>
      <c r="AF26" s="160">
        <f t="shared" si="1"/>
        <v>0</v>
      </c>
      <c r="AG26" s="627"/>
      <c r="AK26" s="955">
        <v>7976</v>
      </c>
      <c r="AN26" s="306"/>
      <c r="AP26" s="377"/>
      <c r="AQ26" s="377"/>
      <c r="AR26" s="377"/>
      <c r="AS26" s="377"/>
      <c r="AT26" s="377"/>
      <c r="AU26" s="377"/>
      <c r="AV26" s="377"/>
      <c r="AW26" s="377"/>
      <c r="AX26" s="377"/>
      <c r="AY26" s="377"/>
      <c r="AZ26" s="377"/>
      <c r="BA26" s="377"/>
      <c r="BB26" s="377"/>
      <c r="BC26" s="377"/>
      <c r="BD26" s="377"/>
      <c r="BE26" s="377"/>
      <c r="BF26" s="377"/>
      <c r="BG26" s="377"/>
      <c r="BH26" s="377"/>
    </row>
    <row r="27" spans="1:60" s="3" customFormat="1" ht="14.25" x14ac:dyDescent="0.2">
      <c r="A27" s="423"/>
      <c r="B27" s="423"/>
      <c r="C27" s="424"/>
      <c r="D27" s="424"/>
      <c r="E27" s="424"/>
      <c r="F27" s="424"/>
      <c r="G27" s="424"/>
      <c r="H27" s="424"/>
      <c r="I27" s="424"/>
      <c r="J27" s="424"/>
      <c r="K27" s="424"/>
      <c r="L27" s="424"/>
      <c r="M27" s="424"/>
      <c r="N27" s="424"/>
      <c r="O27" s="424"/>
      <c r="P27" s="424"/>
      <c r="Q27" s="424"/>
      <c r="R27" s="424"/>
      <c r="S27" s="424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123">
        <f t="shared" si="0"/>
        <v>0</v>
      </c>
      <c r="AE27" s="603"/>
      <c r="AF27" s="113">
        <f t="shared" si="1"/>
        <v>0</v>
      </c>
      <c r="AG27" s="465"/>
      <c r="AK27" s="955">
        <v>7977</v>
      </c>
      <c r="AN27" s="306"/>
      <c r="AP27" s="377"/>
      <c r="AQ27" s="377"/>
      <c r="AR27" s="377"/>
      <c r="AS27" s="377"/>
      <c r="AT27" s="377"/>
      <c r="AU27" s="377"/>
      <c r="AV27" s="377"/>
      <c r="AW27" s="377"/>
      <c r="AX27" s="377"/>
      <c r="AY27" s="377"/>
      <c r="AZ27" s="377"/>
      <c r="BA27" s="377"/>
      <c r="BB27" s="377"/>
      <c r="BC27" s="377"/>
      <c r="BD27" s="377"/>
      <c r="BE27" s="377"/>
      <c r="BF27" s="377"/>
      <c r="BG27" s="377"/>
      <c r="BH27" s="377"/>
    </row>
    <row r="28" spans="1:60" s="3" customFormat="1" ht="14.25" x14ac:dyDescent="0.2">
      <c r="A28" s="425"/>
      <c r="B28" s="425"/>
      <c r="C28" s="426"/>
      <c r="D28" s="426"/>
      <c r="E28" s="426"/>
      <c r="F28" s="426"/>
      <c r="G28" s="426"/>
      <c r="H28" s="426"/>
      <c r="I28" s="426"/>
      <c r="J28" s="426"/>
      <c r="K28" s="426"/>
      <c r="L28" s="426"/>
      <c r="M28" s="426"/>
      <c r="N28" s="426"/>
      <c r="O28" s="426"/>
      <c r="P28" s="426"/>
      <c r="Q28" s="426"/>
      <c r="R28" s="426"/>
      <c r="S28" s="426"/>
      <c r="T28" s="426"/>
      <c r="U28" s="426"/>
      <c r="V28" s="426"/>
      <c r="W28" s="426"/>
      <c r="X28" s="426"/>
      <c r="Y28" s="426"/>
      <c r="Z28" s="426"/>
      <c r="AA28" s="426"/>
      <c r="AB28" s="426"/>
      <c r="AC28" s="426"/>
      <c r="AD28" s="161">
        <f t="shared" si="0"/>
        <v>0</v>
      </c>
      <c r="AE28" s="602"/>
      <c r="AF28" s="160">
        <f t="shared" si="1"/>
        <v>0</v>
      </c>
      <c r="AG28" s="627"/>
      <c r="AK28" s="955" t="s">
        <v>229</v>
      </c>
      <c r="AN28" s="306"/>
      <c r="AP28" s="377"/>
      <c r="AQ28" s="377"/>
      <c r="AR28" s="377"/>
      <c r="AS28" s="377"/>
      <c r="AT28" s="377"/>
      <c r="AU28" s="377"/>
      <c r="AV28" s="377"/>
      <c r="AW28" s="377"/>
      <c r="AX28" s="377"/>
      <c r="AY28" s="377"/>
      <c r="AZ28" s="377"/>
      <c r="BA28" s="377"/>
      <c r="BB28" s="377"/>
      <c r="BC28" s="377"/>
      <c r="BD28" s="377"/>
      <c r="BE28" s="377"/>
      <c r="BF28" s="377"/>
      <c r="BG28" s="377"/>
      <c r="BH28" s="377"/>
    </row>
    <row r="29" spans="1:60" s="3" customFormat="1" ht="14.25" x14ac:dyDescent="0.2">
      <c r="A29" s="423"/>
      <c r="B29" s="423"/>
      <c r="C29" s="424"/>
      <c r="D29" s="424"/>
      <c r="E29" s="424"/>
      <c r="F29" s="424"/>
      <c r="G29" s="424"/>
      <c r="H29" s="424"/>
      <c r="I29" s="424"/>
      <c r="J29" s="424"/>
      <c r="K29" s="424"/>
      <c r="L29" s="424"/>
      <c r="M29" s="424"/>
      <c r="N29" s="424"/>
      <c r="O29" s="424"/>
      <c r="P29" s="424"/>
      <c r="Q29" s="424"/>
      <c r="R29" s="424"/>
      <c r="S29" s="424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123">
        <f t="shared" si="0"/>
        <v>0</v>
      </c>
      <c r="AE29" s="603"/>
      <c r="AF29" s="113">
        <f t="shared" si="1"/>
        <v>0</v>
      </c>
      <c r="AG29" s="465"/>
      <c r="AK29" s="955" t="s">
        <v>230</v>
      </c>
      <c r="AN29" s="306"/>
      <c r="AP29" s="377"/>
      <c r="AQ29" s="377"/>
      <c r="AR29" s="377"/>
      <c r="AS29" s="377"/>
      <c r="AT29" s="377"/>
      <c r="AU29" s="377"/>
      <c r="AV29" s="377"/>
      <c r="AW29" s="377"/>
      <c r="AX29" s="377"/>
      <c r="AY29" s="377"/>
      <c r="AZ29" s="377"/>
      <c r="BA29" s="377"/>
      <c r="BB29" s="377"/>
      <c r="BC29" s="377"/>
      <c r="BD29" s="377"/>
      <c r="BE29" s="377"/>
      <c r="BF29" s="377"/>
      <c r="BG29" s="377"/>
      <c r="BH29" s="377"/>
    </row>
    <row r="30" spans="1:60" s="3" customFormat="1" ht="14.25" x14ac:dyDescent="0.2">
      <c r="A30" s="425"/>
      <c r="B30" s="425"/>
      <c r="C30" s="426"/>
      <c r="D30" s="426"/>
      <c r="E30" s="426"/>
      <c r="F30" s="426"/>
      <c r="G30" s="426"/>
      <c r="H30" s="426"/>
      <c r="I30" s="426"/>
      <c r="J30" s="426"/>
      <c r="K30" s="426"/>
      <c r="L30" s="426"/>
      <c r="M30" s="426"/>
      <c r="N30" s="426"/>
      <c r="O30" s="426"/>
      <c r="P30" s="426"/>
      <c r="Q30" s="426"/>
      <c r="R30" s="426"/>
      <c r="S30" s="426"/>
      <c r="T30" s="426"/>
      <c r="U30" s="426"/>
      <c r="V30" s="426"/>
      <c r="W30" s="426"/>
      <c r="X30" s="426"/>
      <c r="Y30" s="426"/>
      <c r="Z30" s="426"/>
      <c r="AA30" s="426"/>
      <c r="AB30" s="426"/>
      <c r="AC30" s="426"/>
      <c r="AD30" s="161">
        <f t="shared" si="0"/>
        <v>0</v>
      </c>
      <c r="AE30" s="602"/>
      <c r="AF30" s="160">
        <f t="shared" si="1"/>
        <v>0</v>
      </c>
      <c r="AG30" s="627"/>
      <c r="AK30" s="955" t="s">
        <v>228</v>
      </c>
      <c r="AN30" s="306"/>
      <c r="AP30" s="377"/>
      <c r="AQ30" s="377"/>
      <c r="AR30" s="377"/>
      <c r="AS30" s="377"/>
      <c r="AT30" s="377"/>
      <c r="AU30" s="377"/>
      <c r="AV30" s="377"/>
      <c r="AW30" s="377"/>
      <c r="AX30" s="377"/>
      <c r="AY30" s="377"/>
      <c r="AZ30" s="377"/>
      <c r="BA30" s="377"/>
      <c r="BB30" s="377"/>
      <c r="BC30" s="377"/>
      <c r="BD30" s="377"/>
      <c r="BE30" s="377"/>
      <c r="BF30" s="377"/>
      <c r="BG30" s="377"/>
      <c r="BH30" s="377"/>
    </row>
    <row r="31" spans="1:60" s="3" customFormat="1" ht="14.25" x14ac:dyDescent="0.2">
      <c r="A31" s="423"/>
      <c r="B31" s="423"/>
      <c r="C31" s="424"/>
      <c r="D31" s="424"/>
      <c r="E31" s="424"/>
      <c r="F31" s="424"/>
      <c r="G31" s="424"/>
      <c r="H31" s="424"/>
      <c r="I31" s="424"/>
      <c r="J31" s="424"/>
      <c r="K31" s="424"/>
      <c r="L31" s="424"/>
      <c r="M31" s="424"/>
      <c r="N31" s="424"/>
      <c r="O31" s="424"/>
      <c r="P31" s="424"/>
      <c r="Q31" s="424"/>
      <c r="R31" s="424"/>
      <c r="S31" s="424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123">
        <f t="shared" si="0"/>
        <v>0</v>
      </c>
      <c r="AE31" s="603"/>
      <c r="AF31" s="113">
        <f t="shared" si="1"/>
        <v>0</v>
      </c>
      <c r="AG31" s="465"/>
      <c r="AK31" s="955" t="s">
        <v>231</v>
      </c>
      <c r="AN31" s="306"/>
      <c r="AP31" s="377"/>
      <c r="AQ31" s="377"/>
      <c r="AR31" s="377"/>
      <c r="AS31" s="377"/>
      <c r="AT31" s="377"/>
      <c r="AU31" s="377"/>
      <c r="AV31" s="377"/>
      <c r="AW31" s="377"/>
      <c r="AX31" s="377"/>
      <c r="AY31" s="377"/>
      <c r="AZ31" s="377"/>
      <c r="BA31" s="377"/>
      <c r="BB31" s="377"/>
      <c r="BC31" s="377"/>
      <c r="BD31" s="377"/>
      <c r="BE31" s="377"/>
      <c r="BF31" s="377"/>
      <c r="BG31" s="377"/>
      <c r="BH31" s="377"/>
    </row>
    <row r="32" spans="1:60" s="3" customFormat="1" ht="14.25" x14ac:dyDescent="0.2">
      <c r="A32" s="425"/>
      <c r="B32" s="425"/>
      <c r="C32" s="426"/>
      <c r="D32" s="426"/>
      <c r="E32" s="426"/>
      <c r="F32" s="426"/>
      <c r="G32" s="426"/>
      <c r="H32" s="426"/>
      <c r="I32" s="426"/>
      <c r="J32" s="426"/>
      <c r="K32" s="426"/>
      <c r="L32" s="426"/>
      <c r="M32" s="426"/>
      <c r="N32" s="426"/>
      <c r="O32" s="426"/>
      <c r="P32" s="426"/>
      <c r="Q32" s="426"/>
      <c r="R32" s="426"/>
      <c r="S32" s="426"/>
      <c r="T32" s="426"/>
      <c r="U32" s="426"/>
      <c r="V32" s="426"/>
      <c r="W32" s="426"/>
      <c r="X32" s="426"/>
      <c r="Y32" s="426"/>
      <c r="Z32" s="426"/>
      <c r="AA32" s="426"/>
      <c r="AB32" s="426"/>
      <c r="AC32" s="426"/>
      <c r="AD32" s="161">
        <f t="shared" si="0"/>
        <v>0</v>
      </c>
      <c r="AE32" s="602"/>
      <c r="AF32" s="160">
        <f t="shared" si="1"/>
        <v>0</v>
      </c>
      <c r="AG32" s="627"/>
      <c r="AK32" s="955" t="s">
        <v>235</v>
      </c>
      <c r="AN32" s="306"/>
      <c r="AP32" s="377"/>
      <c r="AQ32" s="377"/>
      <c r="AR32" s="377"/>
      <c r="AS32" s="377"/>
      <c r="AT32" s="377"/>
      <c r="AU32" s="377"/>
      <c r="AV32" s="377"/>
      <c r="AW32" s="377"/>
      <c r="AX32" s="377"/>
      <c r="AY32" s="377"/>
      <c r="AZ32" s="377"/>
      <c r="BA32" s="377"/>
      <c r="BB32" s="377"/>
      <c r="BC32" s="377"/>
      <c r="BD32" s="377"/>
      <c r="BE32" s="377"/>
      <c r="BF32" s="377"/>
      <c r="BG32" s="377"/>
      <c r="BH32" s="377"/>
    </row>
    <row r="33" spans="1:60" s="3" customFormat="1" ht="14.25" x14ac:dyDescent="0.2">
      <c r="A33" s="423"/>
      <c r="B33" s="423"/>
      <c r="C33" s="424"/>
      <c r="D33" s="424"/>
      <c r="E33" s="424"/>
      <c r="F33" s="424"/>
      <c r="G33" s="424"/>
      <c r="H33" s="424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123">
        <f t="shared" si="0"/>
        <v>0</v>
      </c>
      <c r="AE33" s="603"/>
      <c r="AF33" s="113">
        <f t="shared" si="1"/>
        <v>0</v>
      </c>
      <c r="AG33" s="465"/>
      <c r="AK33" s="955" t="s">
        <v>234</v>
      </c>
      <c r="AN33" s="306"/>
      <c r="AP33" s="377"/>
      <c r="AQ33" s="377"/>
      <c r="AR33" s="377"/>
      <c r="AS33" s="377"/>
      <c r="AT33" s="377"/>
      <c r="AU33" s="377"/>
      <c r="AV33" s="377"/>
      <c r="AW33" s="377"/>
      <c r="AX33" s="377"/>
      <c r="AY33" s="377"/>
      <c r="AZ33" s="377"/>
      <c r="BA33" s="377"/>
      <c r="BB33" s="377"/>
      <c r="BC33" s="377"/>
      <c r="BD33" s="377"/>
      <c r="BE33" s="377"/>
      <c r="BF33" s="377"/>
      <c r="BG33" s="377"/>
      <c r="BH33" s="377"/>
    </row>
    <row r="34" spans="1:60" s="3" customFormat="1" ht="14.25" x14ac:dyDescent="0.2">
      <c r="A34" s="425"/>
      <c r="B34" s="425"/>
      <c r="C34" s="426"/>
      <c r="D34" s="426"/>
      <c r="E34" s="426"/>
      <c r="F34" s="426"/>
      <c r="G34" s="426"/>
      <c r="H34" s="426"/>
      <c r="I34" s="426"/>
      <c r="J34" s="426"/>
      <c r="K34" s="426"/>
      <c r="L34" s="426"/>
      <c r="M34" s="426"/>
      <c r="N34" s="426"/>
      <c r="O34" s="426"/>
      <c r="P34" s="426"/>
      <c r="Q34" s="426"/>
      <c r="R34" s="426"/>
      <c r="S34" s="426"/>
      <c r="T34" s="426"/>
      <c r="U34" s="426"/>
      <c r="V34" s="426"/>
      <c r="W34" s="426"/>
      <c r="X34" s="426"/>
      <c r="Y34" s="426"/>
      <c r="Z34" s="426"/>
      <c r="AA34" s="426"/>
      <c r="AB34" s="426"/>
      <c r="AC34" s="426"/>
      <c r="AD34" s="161">
        <f t="shared" si="0"/>
        <v>0</v>
      </c>
      <c r="AE34" s="602"/>
      <c r="AF34" s="160">
        <f t="shared" si="1"/>
        <v>0</v>
      </c>
      <c r="AG34" s="627"/>
      <c r="AK34" s="955" t="s">
        <v>233</v>
      </c>
      <c r="AN34" s="306"/>
      <c r="AP34" s="377"/>
      <c r="AQ34" s="377"/>
      <c r="AR34" s="377"/>
      <c r="AS34" s="377"/>
      <c r="AT34" s="377"/>
      <c r="AU34" s="377"/>
      <c r="AV34" s="377"/>
      <c r="AW34" s="377"/>
      <c r="AX34" s="377"/>
      <c r="AY34" s="377"/>
      <c r="AZ34" s="377"/>
      <c r="BA34" s="377"/>
      <c r="BB34" s="377"/>
      <c r="BC34" s="377"/>
      <c r="BD34" s="377"/>
      <c r="BE34" s="377"/>
      <c r="BF34" s="377"/>
      <c r="BG34" s="377"/>
      <c r="BH34" s="377"/>
    </row>
    <row r="35" spans="1:60" s="3" customFormat="1" ht="14.25" x14ac:dyDescent="0.2">
      <c r="A35" s="423"/>
      <c r="B35" s="423"/>
      <c r="C35" s="424"/>
      <c r="D35" s="424"/>
      <c r="E35" s="424"/>
      <c r="F35" s="424"/>
      <c r="G35" s="424"/>
      <c r="H35" s="424"/>
      <c r="I35" s="424"/>
      <c r="J35" s="424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123">
        <f t="shared" si="0"/>
        <v>0</v>
      </c>
      <c r="AE35" s="603"/>
      <c r="AF35" s="113">
        <f t="shared" si="1"/>
        <v>0</v>
      </c>
      <c r="AG35" s="465"/>
      <c r="AK35" s="955" t="s">
        <v>232</v>
      </c>
      <c r="AN35" s="306"/>
      <c r="AP35" s="377"/>
      <c r="AQ35" s="377"/>
      <c r="AR35" s="377"/>
      <c r="AS35" s="377"/>
      <c r="AT35" s="377"/>
      <c r="AU35" s="377"/>
      <c r="AV35" s="377"/>
      <c r="AW35" s="377"/>
      <c r="AX35" s="377"/>
      <c r="AY35" s="377"/>
      <c r="AZ35" s="377"/>
      <c r="BA35" s="377"/>
      <c r="BB35" s="377"/>
      <c r="BC35" s="377"/>
      <c r="BD35" s="377"/>
      <c r="BE35" s="377"/>
      <c r="BF35" s="377"/>
      <c r="BG35" s="377"/>
      <c r="BH35" s="377"/>
    </row>
    <row r="36" spans="1:60" s="3" customFormat="1" ht="15" x14ac:dyDescent="0.25">
      <c r="A36" s="425"/>
      <c r="B36" s="425"/>
      <c r="C36" s="426"/>
      <c r="D36" s="426"/>
      <c r="E36" s="426"/>
      <c r="F36" s="426"/>
      <c r="G36" s="426"/>
      <c r="H36" s="426"/>
      <c r="I36" s="426"/>
      <c r="J36" s="426"/>
      <c r="K36" s="426"/>
      <c r="L36" s="426"/>
      <c r="M36" s="426"/>
      <c r="N36" s="426"/>
      <c r="O36" s="426"/>
      <c r="P36" s="426"/>
      <c r="Q36" s="426"/>
      <c r="R36" s="426"/>
      <c r="S36" s="426"/>
      <c r="T36" s="426"/>
      <c r="U36" s="426"/>
      <c r="V36" s="426"/>
      <c r="W36" s="426"/>
      <c r="X36" s="426"/>
      <c r="Y36" s="426"/>
      <c r="Z36" s="426"/>
      <c r="AA36" s="426"/>
      <c r="AB36" s="426"/>
      <c r="AC36" s="426"/>
      <c r="AD36" s="161">
        <f t="shared" si="0"/>
        <v>0</v>
      </c>
      <c r="AE36" s="602"/>
      <c r="AF36" s="160">
        <f t="shared" si="1"/>
        <v>0</v>
      </c>
      <c r="AG36" s="627"/>
      <c r="AK36" s="776"/>
      <c r="AN36" s="306"/>
      <c r="AP36" s="377"/>
      <c r="AQ36" s="377"/>
      <c r="AR36" s="377"/>
      <c r="AS36" s="377"/>
      <c r="AT36" s="377"/>
      <c r="AU36" s="377"/>
      <c r="AV36" s="377"/>
      <c r="AW36" s="377"/>
      <c r="AX36" s="377"/>
      <c r="AY36" s="377"/>
      <c r="AZ36" s="377"/>
      <c r="BA36" s="377"/>
      <c r="BB36" s="377"/>
      <c r="BC36" s="377"/>
      <c r="BD36" s="377"/>
      <c r="BE36" s="377"/>
      <c r="BF36" s="377"/>
      <c r="BG36" s="377"/>
      <c r="BH36" s="377"/>
    </row>
    <row r="37" spans="1:60" s="3" customFormat="1" ht="15" x14ac:dyDescent="0.25">
      <c r="A37" s="423"/>
      <c r="B37" s="423"/>
      <c r="C37" s="424"/>
      <c r="D37" s="424"/>
      <c r="E37" s="424"/>
      <c r="F37" s="424"/>
      <c r="G37" s="424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123">
        <f t="shared" si="0"/>
        <v>0</v>
      </c>
      <c r="AE37" s="603"/>
      <c r="AF37" s="113">
        <f t="shared" si="1"/>
        <v>0</v>
      </c>
      <c r="AG37" s="465"/>
      <c r="AK37" s="776"/>
      <c r="AN37" s="306"/>
      <c r="AP37" s="377"/>
      <c r="AQ37" s="377"/>
      <c r="AR37" s="377"/>
      <c r="AS37" s="377"/>
      <c r="AT37" s="377"/>
      <c r="AU37" s="377"/>
      <c r="AV37" s="377"/>
      <c r="AW37" s="377"/>
      <c r="AX37" s="377"/>
      <c r="AY37" s="377"/>
      <c r="AZ37" s="377"/>
      <c r="BA37" s="377"/>
      <c r="BB37" s="377"/>
      <c r="BC37" s="377"/>
      <c r="BD37" s="377"/>
      <c r="BE37" s="377"/>
      <c r="BF37" s="377"/>
      <c r="BG37" s="377"/>
      <c r="BH37" s="377"/>
    </row>
    <row r="38" spans="1:60" s="3" customFormat="1" ht="15" x14ac:dyDescent="0.25">
      <c r="A38" s="425"/>
      <c r="B38" s="425"/>
      <c r="C38" s="426"/>
      <c r="D38" s="426"/>
      <c r="E38" s="426"/>
      <c r="F38" s="426"/>
      <c r="G38" s="426"/>
      <c r="H38" s="426"/>
      <c r="I38" s="426"/>
      <c r="J38" s="426"/>
      <c r="K38" s="426"/>
      <c r="L38" s="426"/>
      <c r="M38" s="426"/>
      <c r="N38" s="426"/>
      <c r="O38" s="426"/>
      <c r="P38" s="426"/>
      <c r="Q38" s="426"/>
      <c r="R38" s="426"/>
      <c r="S38" s="426"/>
      <c r="T38" s="426"/>
      <c r="U38" s="426"/>
      <c r="V38" s="426"/>
      <c r="W38" s="426"/>
      <c r="X38" s="426"/>
      <c r="Y38" s="426"/>
      <c r="Z38" s="426"/>
      <c r="AA38" s="426"/>
      <c r="AB38" s="426"/>
      <c r="AC38" s="426"/>
      <c r="AD38" s="161">
        <f t="shared" si="0"/>
        <v>0</v>
      </c>
      <c r="AE38" s="602"/>
      <c r="AF38" s="160">
        <f t="shared" si="1"/>
        <v>0</v>
      </c>
      <c r="AG38" s="627"/>
      <c r="AK38" s="776"/>
      <c r="AN38" s="306"/>
      <c r="AP38" s="377"/>
      <c r="AQ38" s="377"/>
      <c r="AR38" s="377"/>
      <c r="AS38" s="377"/>
      <c r="AT38" s="377"/>
      <c r="AU38" s="377"/>
      <c r="AV38" s="377"/>
      <c r="AW38" s="377"/>
      <c r="AX38" s="377"/>
      <c r="AY38" s="377"/>
      <c r="AZ38" s="377"/>
      <c r="BA38" s="377"/>
      <c r="BB38" s="377"/>
      <c r="BC38" s="377"/>
      <c r="BD38" s="377"/>
      <c r="BE38" s="377"/>
      <c r="BF38" s="377"/>
      <c r="BG38" s="377"/>
      <c r="BH38" s="377"/>
    </row>
    <row r="39" spans="1:60" s="3" customFormat="1" ht="15" x14ac:dyDescent="0.25">
      <c r="A39" s="423"/>
      <c r="B39" s="423"/>
      <c r="C39" s="424"/>
      <c r="D39" s="424"/>
      <c r="E39" s="424"/>
      <c r="F39" s="424"/>
      <c r="G39" s="424"/>
      <c r="H39" s="424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123">
        <f t="shared" si="0"/>
        <v>0</v>
      </c>
      <c r="AE39" s="603"/>
      <c r="AF39" s="113">
        <f t="shared" si="1"/>
        <v>0</v>
      </c>
      <c r="AG39" s="465"/>
      <c r="AK39" s="776"/>
      <c r="AN39" s="306"/>
      <c r="AP39" s="377"/>
      <c r="AQ39" s="377"/>
      <c r="AR39" s="377"/>
      <c r="AS39" s="377"/>
      <c r="AT39" s="377"/>
      <c r="AU39" s="377"/>
      <c r="AV39" s="377"/>
      <c r="AW39" s="377"/>
      <c r="AX39" s="377"/>
      <c r="AY39" s="377"/>
      <c r="AZ39" s="377"/>
      <c r="BA39" s="377"/>
      <c r="BB39" s="377"/>
      <c r="BC39" s="377"/>
      <c r="BD39" s="377"/>
      <c r="BE39" s="377"/>
      <c r="BF39" s="377"/>
      <c r="BG39" s="377"/>
      <c r="BH39" s="377"/>
    </row>
    <row r="40" spans="1:60" s="3" customFormat="1" ht="15" x14ac:dyDescent="0.25">
      <c r="A40" s="425"/>
      <c r="B40" s="425"/>
      <c r="C40" s="426"/>
      <c r="D40" s="426"/>
      <c r="E40" s="426"/>
      <c r="F40" s="426"/>
      <c r="G40" s="426"/>
      <c r="H40" s="426"/>
      <c r="I40" s="426"/>
      <c r="J40" s="426"/>
      <c r="K40" s="426"/>
      <c r="L40" s="426"/>
      <c r="M40" s="426"/>
      <c r="N40" s="426"/>
      <c r="O40" s="426"/>
      <c r="P40" s="426"/>
      <c r="Q40" s="426"/>
      <c r="R40" s="426"/>
      <c r="S40" s="426"/>
      <c r="T40" s="426"/>
      <c r="U40" s="426"/>
      <c r="V40" s="426"/>
      <c r="W40" s="426"/>
      <c r="X40" s="426"/>
      <c r="Y40" s="426"/>
      <c r="Z40" s="426"/>
      <c r="AA40" s="426"/>
      <c r="AB40" s="426"/>
      <c r="AC40" s="426"/>
      <c r="AD40" s="161">
        <f t="shared" si="0"/>
        <v>0</v>
      </c>
      <c r="AE40" s="602"/>
      <c r="AF40" s="160">
        <f t="shared" si="1"/>
        <v>0</v>
      </c>
      <c r="AG40" s="627"/>
      <c r="AK40" s="776"/>
      <c r="AN40" s="306"/>
      <c r="AP40" s="377"/>
      <c r="AQ40" s="377"/>
      <c r="AR40" s="377"/>
      <c r="AS40" s="377"/>
      <c r="AT40" s="377"/>
      <c r="AU40" s="377"/>
      <c r="AV40" s="377"/>
      <c r="AW40" s="377"/>
      <c r="AX40" s="377"/>
      <c r="AY40" s="377"/>
      <c r="AZ40" s="377"/>
      <c r="BA40" s="377"/>
      <c r="BB40" s="377"/>
      <c r="BC40" s="377"/>
      <c r="BD40" s="377"/>
      <c r="BE40" s="377"/>
      <c r="BF40" s="377"/>
      <c r="BG40" s="377"/>
      <c r="BH40" s="377"/>
    </row>
    <row r="41" spans="1:60" s="3" customFormat="1" ht="15" x14ac:dyDescent="0.2">
      <c r="A41" s="423"/>
      <c r="B41" s="423"/>
      <c r="C41" s="424"/>
      <c r="D41" s="424"/>
      <c r="E41" s="424"/>
      <c r="F41" s="424"/>
      <c r="G41" s="424"/>
      <c r="H41" s="424"/>
      <c r="I41" s="424"/>
      <c r="J41" s="424"/>
      <c r="K41" s="424"/>
      <c r="L41" s="424"/>
      <c r="M41" s="424"/>
      <c r="N41" s="424"/>
      <c r="O41" s="424"/>
      <c r="P41" s="424"/>
      <c r="Q41" s="424"/>
      <c r="R41" s="424"/>
      <c r="S41" s="424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123">
        <f t="shared" si="0"/>
        <v>0</v>
      </c>
      <c r="AE41" s="603"/>
      <c r="AF41" s="113">
        <f t="shared" si="1"/>
        <v>0</v>
      </c>
      <c r="AG41" s="465"/>
      <c r="AK41" s="775"/>
      <c r="AN41" s="306"/>
      <c r="AP41" s="377"/>
      <c r="AQ41" s="377"/>
      <c r="AR41" s="377"/>
      <c r="AS41" s="377"/>
      <c r="AT41" s="377"/>
      <c r="AU41" s="377"/>
      <c r="AV41" s="377"/>
      <c r="AW41" s="377"/>
      <c r="AX41" s="377"/>
      <c r="AY41" s="377"/>
      <c r="AZ41" s="377"/>
      <c r="BA41" s="377"/>
      <c r="BB41" s="377"/>
      <c r="BC41" s="377"/>
      <c r="BD41" s="377"/>
      <c r="BE41" s="377"/>
      <c r="BF41" s="377"/>
      <c r="BG41" s="377"/>
      <c r="BH41" s="377"/>
    </row>
    <row r="42" spans="1:60" s="3" customFormat="1" ht="15" x14ac:dyDescent="0.25">
      <c r="A42" s="425"/>
      <c r="B42" s="425"/>
      <c r="C42" s="426"/>
      <c r="D42" s="426"/>
      <c r="E42" s="426"/>
      <c r="F42" s="426"/>
      <c r="G42" s="426"/>
      <c r="H42" s="426"/>
      <c r="I42" s="426"/>
      <c r="J42" s="426"/>
      <c r="K42" s="426"/>
      <c r="L42" s="426"/>
      <c r="M42" s="426"/>
      <c r="N42" s="426"/>
      <c r="O42" s="426"/>
      <c r="P42" s="426"/>
      <c r="Q42" s="426"/>
      <c r="R42" s="426"/>
      <c r="S42" s="426"/>
      <c r="T42" s="426"/>
      <c r="U42" s="426"/>
      <c r="V42" s="426"/>
      <c r="W42" s="426"/>
      <c r="X42" s="426"/>
      <c r="Y42" s="426"/>
      <c r="Z42" s="426"/>
      <c r="AA42" s="426"/>
      <c r="AB42" s="426"/>
      <c r="AC42" s="426"/>
      <c r="AD42" s="161">
        <f t="shared" si="0"/>
        <v>0</v>
      </c>
      <c r="AE42" s="602"/>
      <c r="AF42" s="160">
        <f t="shared" si="1"/>
        <v>0</v>
      </c>
      <c r="AG42" s="627"/>
      <c r="AK42" s="776"/>
      <c r="AN42" s="306"/>
      <c r="AP42" s="377"/>
      <c r="AQ42" s="377"/>
      <c r="AR42" s="377"/>
      <c r="AS42" s="377"/>
      <c r="AT42" s="377"/>
      <c r="AU42" s="377"/>
      <c r="AV42" s="377"/>
      <c r="AW42" s="377"/>
      <c r="AX42" s="377"/>
      <c r="AY42" s="377"/>
      <c r="AZ42" s="377"/>
      <c r="BA42" s="377"/>
      <c r="BB42" s="377"/>
      <c r="BC42" s="377"/>
      <c r="BD42" s="377"/>
      <c r="BE42" s="377"/>
      <c r="BF42" s="377"/>
      <c r="BG42" s="377"/>
      <c r="BH42" s="377"/>
    </row>
    <row r="43" spans="1:60" s="3" customFormat="1" ht="15" x14ac:dyDescent="0.25">
      <c r="A43" s="423"/>
      <c r="B43" s="423"/>
      <c r="C43" s="424"/>
      <c r="D43" s="424"/>
      <c r="E43" s="424"/>
      <c r="F43" s="424"/>
      <c r="G43" s="424"/>
      <c r="H43" s="424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123">
        <f t="shared" si="0"/>
        <v>0</v>
      </c>
      <c r="AE43" s="603"/>
      <c r="AF43" s="113">
        <f t="shared" si="1"/>
        <v>0</v>
      </c>
      <c r="AG43" s="465"/>
      <c r="AK43" s="776"/>
      <c r="AN43" s="306"/>
      <c r="AP43" s="377"/>
      <c r="AQ43" s="377"/>
      <c r="AR43" s="377"/>
      <c r="AS43" s="377"/>
      <c r="AT43" s="377"/>
      <c r="AU43" s="377"/>
      <c r="AV43" s="377"/>
      <c r="AW43" s="377"/>
      <c r="AX43" s="377"/>
      <c r="AY43" s="377"/>
      <c r="AZ43" s="377"/>
      <c r="BA43" s="377"/>
      <c r="BB43" s="377"/>
      <c r="BC43" s="377"/>
      <c r="BD43" s="377"/>
      <c r="BE43" s="377"/>
      <c r="BF43" s="377"/>
      <c r="BG43" s="377"/>
      <c r="BH43" s="377"/>
    </row>
    <row r="44" spans="1:60" s="3" customFormat="1" ht="15" x14ac:dyDescent="0.25">
      <c r="A44" s="425"/>
      <c r="B44" s="425"/>
      <c r="C44" s="426"/>
      <c r="D44" s="426"/>
      <c r="E44" s="426"/>
      <c r="F44" s="426"/>
      <c r="G44" s="426"/>
      <c r="H44" s="426"/>
      <c r="I44" s="426"/>
      <c r="J44" s="426"/>
      <c r="K44" s="426"/>
      <c r="L44" s="426"/>
      <c r="M44" s="426"/>
      <c r="N44" s="426"/>
      <c r="O44" s="426"/>
      <c r="P44" s="426"/>
      <c r="Q44" s="426"/>
      <c r="R44" s="426"/>
      <c r="S44" s="426"/>
      <c r="T44" s="426"/>
      <c r="U44" s="426"/>
      <c r="V44" s="426"/>
      <c r="W44" s="426"/>
      <c r="X44" s="426"/>
      <c r="Y44" s="426"/>
      <c r="Z44" s="426"/>
      <c r="AA44" s="426"/>
      <c r="AB44" s="426"/>
      <c r="AC44" s="426"/>
      <c r="AD44" s="161">
        <f t="shared" si="0"/>
        <v>0</v>
      </c>
      <c r="AE44" s="602"/>
      <c r="AF44" s="160">
        <f t="shared" si="1"/>
        <v>0</v>
      </c>
      <c r="AG44" s="627"/>
      <c r="AK44" s="776"/>
      <c r="AN44" s="306"/>
      <c r="AP44" s="377"/>
      <c r="AQ44" s="377"/>
      <c r="AR44" s="377"/>
      <c r="AS44" s="377"/>
      <c r="AT44" s="377"/>
      <c r="AU44" s="377"/>
      <c r="AV44" s="377"/>
      <c r="AW44" s="377"/>
      <c r="AX44" s="377"/>
      <c r="AY44" s="377"/>
      <c r="AZ44" s="377"/>
      <c r="BA44" s="377"/>
      <c r="BB44" s="377"/>
      <c r="BC44" s="377"/>
      <c r="BD44" s="377"/>
      <c r="BE44" s="377"/>
      <c r="BF44" s="377"/>
      <c r="BG44" s="377"/>
      <c r="BH44" s="377"/>
    </row>
    <row r="45" spans="1:60" s="3" customFormat="1" ht="15" x14ac:dyDescent="0.25">
      <c r="A45" s="423"/>
      <c r="B45" s="423"/>
      <c r="C45" s="424"/>
      <c r="D45" s="424"/>
      <c r="E45" s="424"/>
      <c r="F45" s="424"/>
      <c r="G45" s="424"/>
      <c r="H45" s="424"/>
      <c r="I45" s="424"/>
      <c r="J45" s="424"/>
      <c r="K45" s="424"/>
      <c r="L45" s="424"/>
      <c r="M45" s="424"/>
      <c r="N45" s="424"/>
      <c r="O45" s="424"/>
      <c r="P45" s="424"/>
      <c r="Q45" s="424"/>
      <c r="R45" s="424"/>
      <c r="S45" s="424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123">
        <f t="shared" si="0"/>
        <v>0</v>
      </c>
      <c r="AE45" s="603"/>
      <c r="AF45" s="113">
        <f t="shared" si="1"/>
        <v>0</v>
      </c>
      <c r="AG45" s="465"/>
      <c r="AK45" s="776"/>
      <c r="AN45" s="306"/>
      <c r="AP45" s="377"/>
      <c r="AQ45" s="377"/>
      <c r="AR45" s="377"/>
      <c r="AS45" s="377"/>
      <c r="AT45" s="377"/>
      <c r="AU45" s="377"/>
      <c r="AV45" s="377"/>
      <c r="AW45" s="377"/>
      <c r="AX45" s="377"/>
      <c r="AY45" s="377"/>
      <c r="AZ45" s="377"/>
      <c r="BA45" s="377"/>
      <c r="BB45" s="377"/>
      <c r="BC45" s="377"/>
      <c r="BD45" s="377"/>
      <c r="BE45" s="377"/>
      <c r="BF45" s="377"/>
      <c r="BG45" s="377"/>
      <c r="BH45" s="377"/>
    </row>
    <row r="46" spans="1:60" s="3" customFormat="1" ht="15" x14ac:dyDescent="0.25">
      <c r="A46" s="425"/>
      <c r="B46" s="425"/>
      <c r="C46" s="426"/>
      <c r="D46" s="426"/>
      <c r="E46" s="426"/>
      <c r="F46" s="426"/>
      <c r="G46" s="426"/>
      <c r="H46" s="426"/>
      <c r="I46" s="426"/>
      <c r="J46" s="426"/>
      <c r="K46" s="426"/>
      <c r="L46" s="426"/>
      <c r="M46" s="426"/>
      <c r="N46" s="426"/>
      <c r="O46" s="426"/>
      <c r="P46" s="426"/>
      <c r="Q46" s="426"/>
      <c r="R46" s="426"/>
      <c r="S46" s="426"/>
      <c r="T46" s="426"/>
      <c r="U46" s="426"/>
      <c r="V46" s="426"/>
      <c r="W46" s="426"/>
      <c r="X46" s="426"/>
      <c r="Y46" s="426"/>
      <c r="Z46" s="426"/>
      <c r="AA46" s="426"/>
      <c r="AB46" s="426"/>
      <c r="AC46" s="426"/>
      <c r="AD46" s="161">
        <f t="shared" si="0"/>
        <v>0</v>
      </c>
      <c r="AE46" s="602"/>
      <c r="AF46" s="160">
        <f t="shared" si="1"/>
        <v>0</v>
      </c>
      <c r="AG46" s="627"/>
      <c r="AK46" s="776"/>
      <c r="AN46" s="306"/>
      <c r="AP46" s="377"/>
      <c r="AQ46" s="377"/>
      <c r="AR46" s="377"/>
      <c r="AS46" s="377"/>
      <c r="AT46" s="377"/>
      <c r="AU46" s="377"/>
      <c r="AV46" s="377"/>
      <c r="AW46" s="377"/>
      <c r="AX46" s="377"/>
      <c r="AY46" s="377"/>
      <c r="AZ46" s="377"/>
      <c r="BA46" s="377"/>
      <c r="BB46" s="377"/>
      <c r="BC46" s="377"/>
      <c r="BD46" s="377"/>
      <c r="BE46" s="377"/>
      <c r="BF46" s="377"/>
      <c r="BG46" s="377"/>
      <c r="BH46" s="377"/>
    </row>
    <row r="47" spans="1:60" s="3" customFormat="1" ht="15" x14ac:dyDescent="0.25">
      <c r="A47" s="423"/>
      <c r="B47" s="423"/>
      <c r="C47" s="424"/>
      <c r="D47" s="424"/>
      <c r="E47" s="424"/>
      <c r="F47" s="424"/>
      <c r="G47" s="424"/>
      <c r="H47" s="424"/>
      <c r="I47" s="424"/>
      <c r="J47" s="424"/>
      <c r="K47" s="424"/>
      <c r="L47" s="424"/>
      <c r="M47" s="424"/>
      <c r="N47" s="424"/>
      <c r="O47" s="424"/>
      <c r="P47" s="424"/>
      <c r="Q47" s="424"/>
      <c r="R47" s="424"/>
      <c r="S47" s="424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124">
        <f t="shared" si="0"/>
        <v>0</v>
      </c>
      <c r="AE47" s="604"/>
      <c r="AF47" s="114">
        <f t="shared" si="1"/>
        <v>0</v>
      </c>
      <c r="AG47" s="465"/>
      <c r="AK47" s="776"/>
      <c r="AN47" s="306"/>
      <c r="AP47" s="377"/>
      <c r="AQ47" s="377"/>
      <c r="AR47" s="377"/>
      <c r="AS47" s="377"/>
      <c r="AT47" s="377"/>
      <c r="AU47" s="377"/>
      <c r="AV47" s="377"/>
      <c r="AW47" s="377"/>
      <c r="AX47" s="377"/>
      <c r="AY47" s="377"/>
      <c r="AZ47" s="377"/>
      <c r="BA47" s="377"/>
      <c r="BB47" s="377"/>
      <c r="BC47" s="377"/>
      <c r="BD47" s="377"/>
      <c r="BE47" s="377"/>
      <c r="BF47" s="377"/>
      <c r="BG47" s="377"/>
      <c r="BH47" s="377"/>
    </row>
    <row r="48" spans="1:60" s="3" customFormat="1" ht="15" x14ac:dyDescent="0.25">
      <c r="A48" s="425"/>
      <c r="B48" s="425"/>
      <c r="C48" s="426"/>
      <c r="D48" s="426"/>
      <c r="E48" s="426"/>
      <c r="F48" s="426"/>
      <c r="G48" s="426"/>
      <c r="H48" s="426"/>
      <c r="I48" s="426"/>
      <c r="J48" s="426"/>
      <c r="K48" s="426"/>
      <c r="L48" s="426"/>
      <c r="M48" s="426"/>
      <c r="N48" s="426"/>
      <c r="O48" s="426"/>
      <c r="P48" s="426"/>
      <c r="Q48" s="426"/>
      <c r="R48" s="426"/>
      <c r="S48" s="426"/>
      <c r="T48" s="426"/>
      <c r="U48" s="426"/>
      <c r="V48" s="426"/>
      <c r="W48" s="426"/>
      <c r="X48" s="426"/>
      <c r="Y48" s="426"/>
      <c r="Z48" s="426"/>
      <c r="AA48" s="426"/>
      <c r="AB48" s="426"/>
      <c r="AC48" s="426"/>
      <c r="AD48" s="161">
        <f t="shared" si="0"/>
        <v>0</v>
      </c>
      <c r="AE48" s="602"/>
      <c r="AF48" s="160">
        <f t="shared" si="1"/>
        <v>0</v>
      </c>
      <c r="AG48" s="627"/>
      <c r="AK48" s="776"/>
      <c r="AN48" s="306"/>
      <c r="AP48" s="377"/>
      <c r="AQ48" s="377"/>
      <c r="AR48" s="377"/>
      <c r="AS48" s="377"/>
      <c r="AT48" s="377"/>
      <c r="AU48" s="377"/>
      <c r="AV48" s="377"/>
      <c r="AW48" s="377"/>
      <c r="AX48" s="377"/>
      <c r="AY48" s="377"/>
      <c r="AZ48" s="377"/>
      <c r="BA48" s="377"/>
      <c r="BB48" s="377"/>
      <c r="BC48" s="377"/>
      <c r="BD48" s="377"/>
      <c r="BE48" s="377"/>
      <c r="BF48" s="377"/>
      <c r="BG48" s="377"/>
      <c r="BH48" s="377"/>
    </row>
    <row r="49" spans="1:60" s="3" customFormat="1" ht="15" x14ac:dyDescent="0.25">
      <c r="A49" s="423"/>
      <c r="B49" s="423"/>
      <c r="C49" s="424"/>
      <c r="D49" s="424"/>
      <c r="E49" s="424"/>
      <c r="F49" s="424"/>
      <c r="G49" s="424"/>
      <c r="H49" s="424"/>
      <c r="I49" s="424"/>
      <c r="J49" s="424"/>
      <c r="K49" s="424"/>
      <c r="L49" s="424"/>
      <c r="M49" s="424"/>
      <c r="N49" s="424"/>
      <c r="O49" s="424"/>
      <c r="P49" s="424"/>
      <c r="Q49" s="424"/>
      <c r="R49" s="424"/>
      <c r="S49" s="424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123">
        <f t="shared" si="0"/>
        <v>0</v>
      </c>
      <c r="AE49" s="603"/>
      <c r="AF49" s="113">
        <f t="shared" si="1"/>
        <v>0</v>
      </c>
      <c r="AG49" s="465"/>
      <c r="AK49" s="776"/>
      <c r="AN49" s="306"/>
      <c r="AP49" s="377"/>
      <c r="AQ49" s="377"/>
      <c r="AR49" s="377"/>
      <c r="AS49" s="377"/>
      <c r="AT49" s="377"/>
      <c r="AU49" s="377"/>
      <c r="AV49" s="377"/>
      <c r="AW49" s="377"/>
      <c r="AX49" s="377"/>
      <c r="AY49" s="377"/>
      <c r="AZ49" s="377"/>
      <c r="BA49" s="377"/>
      <c r="BB49" s="377"/>
      <c r="BC49" s="377"/>
      <c r="BD49" s="377"/>
      <c r="BE49" s="377"/>
      <c r="BF49" s="377"/>
      <c r="BG49" s="377"/>
      <c r="BH49" s="377"/>
    </row>
    <row r="50" spans="1:60" s="3" customFormat="1" ht="15" x14ac:dyDescent="0.25">
      <c r="A50" s="425"/>
      <c r="B50" s="425"/>
      <c r="C50" s="426"/>
      <c r="D50" s="426"/>
      <c r="E50" s="426"/>
      <c r="F50" s="426"/>
      <c r="G50" s="426"/>
      <c r="H50" s="426"/>
      <c r="I50" s="426"/>
      <c r="J50" s="426"/>
      <c r="K50" s="426"/>
      <c r="L50" s="426"/>
      <c r="M50" s="426"/>
      <c r="N50" s="426"/>
      <c r="O50" s="426"/>
      <c r="P50" s="426"/>
      <c r="Q50" s="426"/>
      <c r="R50" s="426"/>
      <c r="S50" s="426"/>
      <c r="T50" s="426"/>
      <c r="U50" s="426"/>
      <c r="V50" s="426"/>
      <c r="W50" s="426"/>
      <c r="X50" s="426"/>
      <c r="Y50" s="426"/>
      <c r="Z50" s="426"/>
      <c r="AA50" s="426"/>
      <c r="AB50" s="426"/>
      <c r="AC50" s="426"/>
      <c r="AD50" s="161">
        <f t="shared" si="0"/>
        <v>0</v>
      </c>
      <c r="AE50" s="602"/>
      <c r="AF50" s="160">
        <f t="shared" si="1"/>
        <v>0</v>
      </c>
      <c r="AG50" s="627"/>
      <c r="AK50" s="776"/>
      <c r="AN50" s="306"/>
      <c r="AP50" s="377"/>
      <c r="AQ50" s="377"/>
      <c r="AR50" s="377"/>
      <c r="AS50" s="377"/>
      <c r="AT50" s="377"/>
      <c r="AU50" s="377"/>
      <c r="AV50" s="377"/>
      <c r="AW50" s="377"/>
      <c r="AX50" s="377"/>
      <c r="AY50" s="377"/>
      <c r="AZ50" s="377"/>
      <c r="BA50" s="377"/>
      <c r="BB50" s="377"/>
      <c r="BC50" s="377"/>
      <c r="BD50" s="377"/>
      <c r="BE50" s="377"/>
      <c r="BF50" s="377"/>
      <c r="BG50" s="377"/>
      <c r="BH50" s="377"/>
    </row>
    <row r="51" spans="1:60" s="3" customFormat="1" ht="15" x14ac:dyDescent="0.2">
      <c r="A51" s="423"/>
      <c r="B51" s="423"/>
      <c r="C51" s="424"/>
      <c r="D51" s="424"/>
      <c r="E51" s="424"/>
      <c r="F51" s="424"/>
      <c r="G51" s="424"/>
      <c r="H51" s="424"/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123">
        <f t="shared" si="0"/>
        <v>0</v>
      </c>
      <c r="AE51" s="603"/>
      <c r="AF51" s="113">
        <f t="shared" si="1"/>
        <v>0</v>
      </c>
      <c r="AG51" s="465"/>
      <c r="AK51" s="775"/>
      <c r="AN51" s="306"/>
      <c r="AP51" s="377"/>
      <c r="AQ51" s="377"/>
      <c r="AR51" s="377"/>
      <c r="AS51" s="377"/>
      <c r="AT51" s="377"/>
      <c r="AU51" s="377"/>
      <c r="AV51" s="377"/>
      <c r="AW51" s="377"/>
      <c r="AX51" s="377"/>
      <c r="AY51" s="377"/>
      <c r="AZ51" s="377"/>
      <c r="BA51" s="377"/>
      <c r="BB51" s="377"/>
      <c r="BC51" s="377"/>
      <c r="BD51" s="377"/>
      <c r="BE51" s="377"/>
      <c r="BF51" s="377"/>
      <c r="BG51" s="377"/>
      <c r="BH51" s="377"/>
    </row>
    <row r="52" spans="1:60" s="3" customFormat="1" ht="15" x14ac:dyDescent="0.2">
      <c r="A52" s="425"/>
      <c r="B52" s="425"/>
      <c r="C52" s="426"/>
      <c r="D52" s="426"/>
      <c r="E52" s="426"/>
      <c r="F52" s="426"/>
      <c r="G52" s="426"/>
      <c r="H52" s="426"/>
      <c r="I52" s="426"/>
      <c r="J52" s="426"/>
      <c r="K52" s="426"/>
      <c r="L52" s="426"/>
      <c r="M52" s="426"/>
      <c r="N52" s="426"/>
      <c r="O52" s="426"/>
      <c r="P52" s="426"/>
      <c r="Q52" s="426"/>
      <c r="R52" s="426"/>
      <c r="S52" s="426"/>
      <c r="T52" s="426"/>
      <c r="U52" s="426"/>
      <c r="V52" s="426"/>
      <c r="W52" s="426"/>
      <c r="X52" s="426"/>
      <c r="Y52" s="426"/>
      <c r="Z52" s="426"/>
      <c r="AA52" s="426"/>
      <c r="AB52" s="426"/>
      <c r="AC52" s="426"/>
      <c r="AD52" s="161">
        <f t="shared" si="0"/>
        <v>0</v>
      </c>
      <c r="AE52" s="602"/>
      <c r="AF52" s="160">
        <f t="shared" si="1"/>
        <v>0</v>
      </c>
      <c r="AG52" s="627"/>
      <c r="AK52" s="775"/>
      <c r="AN52" s="306"/>
      <c r="AP52" s="377"/>
      <c r="AQ52" s="377"/>
      <c r="AR52" s="377"/>
      <c r="AS52" s="377"/>
      <c r="AT52" s="377"/>
      <c r="AU52" s="377"/>
      <c r="AV52" s="377"/>
      <c r="AW52" s="377"/>
      <c r="AX52" s="377"/>
      <c r="AY52" s="377"/>
      <c r="AZ52" s="377"/>
      <c r="BA52" s="377"/>
      <c r="BB52" s="377"/>
      <c r="BC52" s="377"/>
      <c r="BD52" s="377"/>
      <c r="BE52" s="377"/>
      <c r="BF52" s="377"/>
      <c r="BG52" s="377"/>
      <c r="BH52" s="377"/>
    </row>
    <row r="53" spans="1:60" s="3" customFormat="1" ht="15" x14ac:dyDescent="0.2">
      <c r="A53" s="423"/>
      <c r="B53" s="423"/>
      <c r="C53" s="424"/>
      <c r="D53" s="424"/>
      <c r="E53" s="424"/>
      <c r="F53" s="424"/>
      <c r="G53" s="424"/>
      <c r="H53" s="424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123">
        <f t="shared" si="0"/>
        <v>0</v>
      </c>
      <c r="AE53" s="603"/>
      <c r="AF53" s="113">
        <f t="shared" si="1"/>
        <v>0</v>
      </c>
      <c r="AG53" s="465"/>
      <c r="AK53" s="775"/>
      <c r="AN53" s="306"/>
      <c r="AP53" s="377"/>
      <c r="AQ53" s="377"/>
      <c r="AR53" s="377"/>
      <c r="AS53" s="377"/>
      <c r="AT53" s="377"/>
      <c r="AU53" s="377"/>
      <c r="AV53" s="377"/>
      <c r="AW53" s="377"/>
      <c r="AX53" s="377"/>
      <c r="AY53" s="377"/>
      <c r="AZ53" s="377"/>
      <c r="BA53" s="377"/>
      <c r="BB53" s="377"/>
      <c r="BC53" s="377"/>
      <c r="BD53" s="377"/>
      <c r="BE53" s="377"/>
      <c r="BF53" s="377"/>
      <c r="BG53" s="377"/>
      <c r="BH53" s="377"/>
    </row>
    <row r="54" spans="1:60" s="3" customFormat="1" ht="15" x14ac:dyDescent="0.25">
      <c r="A54" s="425"/>
      <c r="B54" s="425"/>
      <c r="C54" s="426"/>
      <c r="D54" s="426"/>
      <c r="E54" s="426"/>
      <c r="F54" s="426"/>
      <c r="G54" s="426"/>
      <c r="H54" s="426"/>
      <c r="I54" s="426"/>
      <c r="J54" s="426"/>
      <c r="K54" s="426"/>
      <c r="L54" s="426"/>
      <c r="M54" s="426"/>
      <c r="N54" s="426"/>
      <c r="O54" s="426"/>
      <c r="P54" s="426"/>
      <c r="Q54" s="426"/>
      <c r="R54" s="426"/>
      <c r="S54" s="426"/>
      <c r="T54" s="426"/>
      <c r="U54" s="426"/>
      <c r="V54" s="426"/>
      <c r="W54" s="426"/>
      <c r="X54" s="426"/>
      <c r="Y54" s="426"/>
      <c r="Z54" s="426"/>
      <c r="AA54" s="426"/>
      <c r="AB54" s="426"/>
      <c r="AC54" s="426"/>
      <c r="AD54" s="161">
        <f t="shared" si="0"/>
        <v>0</v>
      </c>
      <c r="AE54" s="602"/>
      <c r="AF54" s="160">
        <f t="shared" si="1"/>
        <v>0</v>
      </c>
      <c r="AG54" s="627"/>
      <c r="AK54" s="776"/>
      <c r="AN54" s="306"/>
      <c r="AP54" s="377"/>
      <c r="AQ54" s="377"/>
      <c r="AR54" s="377"/>
      <c r="AS54" s="377"/>
      <c r="AT54" s="377"/>
      <c r="AU54" s="377"/>
      <c r="AV54" s="377"/>
      <c r="AW54" s="377"/>
      <c r="AX54" s="377"/>
      <c r="AY54" s="377"/>
      <c r="AZ54" s="377"/>
      <c r="BA54" s="377"/>
      <c r="BB54" s="377"/>
      <c r="BC54" s="377"/>
      <c r="BD54" s="377"/>
      <c r="BE54" s="377"/>
      <c r="BF54" s="377"/>
      <c r="BG54" s="377"/>
      <c r="BH54" s="377"/>
    </row>
    <row r="55" spans="1:60" s="3" customFormat="1" ht="15" x14ac:dyDescent="0.2">
      <c r="A55" s="423"/>
      <c r="B55" s="423"/>
      <c r="C55" s="424"/>
      <c r="D55" s="424"/>
      <c r="E55" s="424"/>
      <c r="F55" s="424"/>
      <c r="G55" s="424"/>
      <c r="H55" s="424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123">
        <f t="shared" si="0"/>
        <v>0</v>
      </c>
      <c r="AE55" s="603"/>
      <c r="AF55" s="113">
        <f t="shared" si="1"/>
        <v>0</v>
      </c>
      <c r="AG55" s="465"/>
      <c r="AK55" s="775"/>
      <c r="AN55" s="306"/>
      <c r="AP55" s="377"/>
      <c r="AQ55" s="377"/>
      <c r="AR55" s="377"/>
      <c r="AS55" s="377"/>
      <c r="AT55" s="377"/>
      <c r="AU55" s="377"/>
      <c r="AV55" s="377"/>
      <c r="AW55" s="377"/>
      <c r="AX55" s="377"/>
      <c r="AY55" s="377"/>
      <c r="AZ55" s="377"/>
      <c r="BA55" s="377"/>
      <c r="BB55" s="377"/>
      <c r="BC55" s="377"/>
      <c r="BD55" s="377"/>
      <c r="BE55" s="377"/>
      <c r="BF55" s="377"/>
      <c r="BG55" s="377"/>
      <c r="BH55" s="377"/>
    </row>
    <row r="56" spans="1:60" s="3" customFormat="1" ht="15" x14ac:dyDescent="0.2">
      <c r="A56" s="425"/>
      <c r="B56" s="425"/>
      <c r="C56" s="426"/>
      <c r="D56" s="426"/>
      <c r="E56" s="426"/>
      <c r="F56" s="426"/>
      <c r="G56" s="426"/>
      <c r="H56" s="426"/>
      <c r="I56" s="426"/>
      <c r="J56" s="426"/>
      <c r="K56" s="426"/>
      <c r="L56" s="426"/>
      <c r="M56" s="426"/>
      <c r="N56" s="426"/>
      <c r="O56" s="426"/>
      <c r="P56" s="426"/>
      <c r="Q56" s="426"/>
      <c r="R56" s="426"/>
      <c r="S56" s="426"/>
      <c r="T56" s="426"/>
      <c r="U56" s="426"/>
      <c r="V56" s="426"/>
      <c r="W56" s="426"/>
      <c r="X56" s="426"/>
      <c r="Y56" s="426"/>
      <c r="Z56" s="426"/>
      <c r="AA56" s="426"/>
      <c r="AB56" s="426"/>
      <c r="AC56" s="426"/>
      <c r="AD56" s="161">
        <f t="shared" si="0"/>
        <v>0</v>
      </c>
      <c r="AE56" s="602"/>
      <c r="AF56" s="160">
        <f t="shared" si="1"/>
        <v>0</v>
      </c>
      <c r="AG56" s="627"/>
      <c r="AK56" s="775"/>
      <c r="AN56" s="306"/>
      <c r="AP56" s="377"/>
      <c r="AQ56" s="377"/>
      <c r="AR56" s="377"/>
      <c r="AS56" s="377"/>
      <c r="AT56" s="377"/>
      <c r="AU56" s="377"/>
      <c r="AV56" s="377"/>
      <c r="AW56" s="377"/>
      <c r="AX56" s="377"/>
      <c r="AY56" s="377"/>
      <c r="AZ56" s="377"/>
      <c r="BA56" s="377"/>
      <c r="BB56" s="377"/>
      <c r="BC56" s="377"/>
      <c r="BD56" s="377"/>
      <c r="BE56" s="377"/>
      <c r="BF56" s="377"/>
      <c r="BG56" s="377"/>
      <c r="BH56" s="377"/>
    </row>
    <row r="57" spans="1:60" s="3" customFormat="1" ht="15" x14ac:dyDescent="0.2">
      <c r="A57" s="423"/>
      <c r="B57" s="423"/>
      <c r="C57" s="424"/>
      <c r="D57" s="424"/>
      <c r="E57" s="424"/>
      <c r="F57" s="424"/>
      <c r="G57" s="424"/>
      <c r="H57" s="424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123">
        <f t="shared" si="0"/>
        <v>0</v>
      </c>
      <c r="AE57" s="603"/>
      <c r="AF57" s="113">
        <f t="shared" si="1"/>
        <v>0</v>
      </c>
      <c r="AG57" s="465"/>
      <c r="AK57" s="775"/>
      <c r="AN57" s="306"/>
      <c r="AP57" s="377"/>
      <c r="AQ57" s="377"/>
      <c r="AR57" s="377"/>
      <c r="AS57" s="377"/>
      <c r="AT57" s="377"/>
      <c r="AU57" s="377"/>
      <c r="AV57" s="377"/>
      <c r="AW57" s="377"/>
      <c r="AX57" s="377"/>
      <c r="AY57" s="377"/>
      <c r="AZ57" s="377"/>
      <c r="BA57" s="377"/>
      <c r="BB57" s="377"/>
      <c r="BC57" s="377"/>
      <c r="BD57" s="377"/>
      <c r="BE57" s="377"/>
      <c r="BF57" s="377"/>
      <c r="BG57" s="377"/>
      <c r="BH57" s="377"/>
    </row>
    <row r="58" spans="1:60" s="3" customFormat="1" ht="15.75" thickBot="1" x14ac:dyDescent="0.25">
      <c r="A58" s="425"/>
      <c r="B58" s="425"/>
      <c r="C58" s="426"/>
      <c r="D58" s="426"/>
      <c r="E58" s="426"/>
      <c r="F58" s="426"/>
      <c r="G58" s="426"/>
      <c r="H58" s="426"/>
      <c r="I58" s="426"/>
      <c r="J58" s="426"/>
      <c r="K58" s="426"/>
      <c r="L58" s="426"/>
      <c r="M58" s="426"/>
      <c r="N58" s="426"/>
      <c r="O58" s="426"/>
      <c r="P58" s="426"/>
      <c r="Q58" s="426"/>
      <c r="R58" s="426"/>
      <c r="S58" s="426"/>
      <c r="T58" s="426"/>
      <c r="U58" s="426"/>
      <c r="V58" s="426"/>
      <c r="W58" s="426"/>
      <c r="X58" s="426"/>
      <c r="Y58" s="426"/>
      <c r="Z58" s="426"/>
      <c r="AA58" s="426"/>
      <c r="AB58" s="426"/>
      <c r="AC58" s="426"/>
      <c r="AD58" s="161">
        <f t="shared" si="0"/>
        <v>0</v>
      </c>
      <c r="AE58" s="602"/>
      <c r="AF58" s="160">
        <f t="shared" si="1"/>
        <v>0</v>
      </c>
      <c r="AG58" s="627"/>
      <c r="AK58" s="777"/>
      <c r="AN58" s="306"/>
      <c r="AP58" s="377"/>
      <c r="AQ58" s="377"/>
      <c r="AR58" s="377"/>
      <c r="AS58" s="377"/>
      <c r="AT58" s="377"/>
      <c r="AU58" s="377"/>
      <c r="AV58" s="377"/>
      <c r="AW58" s="377"/>
      <c r="AX58" s="377"/>
      <c r="AY58" s="377"/>
      <c r="AZ58" s="377"/>
      <c r="BA58" s="377"/>
      <c r="BB58" s="377"/>
      <c r="BC58" s="377"/>
      <c r="BD58" s="377"/>
      <c r="BE58" s="377"/>
      <c r="BF58" s="377"/>
      <c r="BG58" s="377"/>
      <c r="BH58" s="377"/>
    </row>
    <row r="59" spans="1:60" s="3" customFormat="1" ht="14.25" x14ac:dyDescent="0.2">
      <c r="A59" s="423"/>
      <c r="B59" s="423"/>
      <c r="C59" s="424"/>
      <c r="D59" s="424"/>
      <c r="E59" s="424"/>
      <c r="F59" s="424"/>
      <c r="G59" s="424"/>
      <c r="H59" s="424"/>
      <c r="I59" s="424"/>
      <c r="J59" s="424"/>
      <c r="K59" s="424"/>
      <c r="L59" s="424"/>
      <c r="M59" s="424"/>
      <c r="N59" s="424"/>
      <c r="O59" s="424"/>
      <c r="P59" s="424"/>
      <c r="Q59" s="424"/>
      <c r="R59" s="424"/>
      <c r="S59" s="424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123">
        <f t="shared" si="0"/>
        <v>0</v>
      </c>
      <c r="AE59" s="603"/>
      <c r="AF59" s="113">
        <f t="shared" si="1"/>
        <v>0</v>
      </c>
      <c r="AG59" s="465"/>
      <c r="AN59" s="77"/>
      <c r="AP59" s="377"/>
      <c r="AQ59" s="377"/>
      <c r="AR59" s="377"/>
      <c r="AS59" s="377"/>
      <c r="AT59" s="377"/>
      <c r="AU59" s="377"/>
      <c r="AV59" s="377"/>
      <c r="AW59" s="377"/>
      <c r="AX59" s="377"/>
      <c r="AY59" s="377"/>
      <c r="AZ59" s="377"/>
      <c r="BA59" s="377"/>
      <c r="BB59" s="377"/>
      <c r="BC59" s="377"/>
      <c r="BD59" s="377"/>
      <c r="BE59" s="377"/>
      <c r="BF59" s="377"/>
      <c r="BG59" s="377"/>
      <c r="BH59" s="377"/>
    </row>
    <row r="60" spans="1:60" s="3" customFormat="1" ht="14.25" x14ac:dyDescent="0.2">
      <c r="A60" s="425"/>
      <c r="B60" s="425"/>
      <c r="C60" s="426"/>
      <c r="D60" s="426"/>
      <c r="E60" s="426"/>
      <c r="F60" s="426"/>
      <c r="G60" s="426"/>
      <c r="H60" s="426"/>
      <c r="I60" s="426"/>
      <c r="J60" s="426"/>
      <c r="K60" s="426"/>
      <c r="L60" s="426"/>
      <c r="M60" s="426"/>
      <c r="N60" s="426"/>
      <c r="O60" s="426"/>
      <c r="P60" s="426"/>
      <c r="Q60" s="426"/>
      <c r="R60" s="426"/>
      <c r="S60" s="426"/>
      <c r="T60" s="426"/>
      <c r="U60" s="426"/>
      <c r="V60" s="426"/>
      <c r="W60" s="426"/>
      <c r="X60" s="426"/>
      <c r="Y60" s="426"/>
      <c r="Z60" s="426"/>
      <c r="AA60" s="426"/>
      <c r="AB60" s="426"/>
      <c r="AC60" s="426"/>
      <c r="AD60" s="161">
        <f t="shared" si="0"/>
        <v>0</v>
      </c>
      <c r="AE60" s="602"/>
      <c r="AF60" s="160">
        <f t="shared" si="1"/>
        <v>0</v>
      </c>
      <c r="AG60" s="627"/>
      <c r="AN60" s="77"/>
      <c r="AP60" s="377"/>
      <c r="AQ60" s="377"/>
      <c r="AR60" s="377"/>
      <c r="AS60" s="377"/>
      <c r="AT60" s="377"/>
      <c r="AU60" s="377"/>
      <c r="AV60" s="377"/>
      <c r="AW60" s="377"/>
      <c r="AX60" s="377"/>
      <c r="AY60" s="377"/>
      <c r="AZ60" s="377"/>
      <c r="BA60" s="377"/>
      <c r="BB60" s="377"/>
      <c r="BC60" s="377"/>
      <c r="BD60" s="377"/>
      <c r="BE60" s="377"/>
      <c r="BF60" s="377"/>
      <c r="BG60" s="377"/>
      <c r="BH60" s="377"/>
    </row>
    <row r="61" spans="1:60" s="3" customFormat="1" ht="14.25" x14ac:dyDescent="0.2">
      <c r="A61" s="423"/>
      <c r="B61" s="423"/>
      <c r="C61" s="424"/>
      <c r="D61" s="424"/>
      <c r="E61" s="424"/>
      <c r="F61" s="424"/>
      <c r="G61" s="424"/>
      <c r="H61" s="424"/>
      <c r="I61" s="424"/>
      <c r="J61" s="424"/>
      <c r="K61" s="424"/>
      <c r="L61" s="424"/>
      <c r="M61" s="424"/>
      <c r="N61" s="424"/>
      <c r="O61" s="424"/>
      <c r="P61" s="424"/>
      <c r="Q61" s="424"/>
      <c r="R61" s="424"/>
      <c r="S61" s="424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123">
        <f t="shared" si="0"/>
        <v>0</v>
      </c>
      <c r="AE61" s="603"/>
      <c r="AF61" s="113">
        <f t="shared" si="1"/>
        <v>0</v>
      </c>
      <c r="AG61" s="465"/>
      <c r="AN61" s="77"/>
      <c r="AP61" s="377"/>
      <c r="AQ61" s="377"/>
      <c r="AR61" s="377"/>
      <c r="AS61" s="377"/>
      <c r="AT61" s="377"/>
      <c r="AU61" s="377"/>
      <c r="AV61" s="377"/>
      <c r="AW61" s="377"/>
      <c r="AX61" s="377"/>
      <c r="AY61" s="377"/>
      <c r="AZ61" s="377"/>
      <c r="BA61" s="377"/>
      <c r="BB61" s="377"/>
      <c r="BC61" s="377"/>
      <c r="BD61" s="377"/>
      <c r="BE61" s="377"/>
      <c r="BF61" s="377"/>
      <c r="BG61" s="377"/>
      <c r="BH61" s="377"/>
    </row>
    <row r="62" spans="1:60" s="3" customFormat="1" ht="14.25" x14ac:dyDescent="0.2">
      <c r="A62" s="425"/>
      <c r="B62" s="425"/>
      <c r="C62" s="426"/>
      <c r="D62" s="426"/>
      <c r="E62" s="426"/>
      <c r="F62" s="426"/>
      <c r="G62" s="426"/>
      <c r="H62" s="426"/>
      <c r="I62" s="426"/>
      <c r="J62" s="426"/>
      <c r="K62" s="426"/>
      <c r="L62" s="426"/>
      <c r="M62" s="426"/>
      <c r="N62" s="426"/>
      <c r="O62" s="426"/>
      <c r="P62" s="426"/>
      <c r="Q62" s="426"/>
      <c r="R62" s="426"/>
      <c r="S62" s="426"/>
      <c r="T62" s="426"/>
      <c r="U62" s="426"/>
      <c r="V62" s="426"/>
      <c r="W62" s="426"/>
      <c r="X62" s="426"/>
      <c r="Y62" s="426"/>
      <c r="Z62" s="426"/>
      <c r="AA62" s="426"/>
      <c r="AB62" s="426"/>
      <c r="AC62" s="426"/>
      <c r="AD62" s="161">
        <f t="shared" si="0"/>
        <v>0</v>
      </c>
      <c r="AE62" s="602"/>
      <c r="AF62" s="160">
        <f t="shared" si="1"/>
        <v>0</v>
      </c>
      <c r="AG62" s="627"/>
      <c r="AN62" s="77"/>
      <c r="AP62" s="377"/>
      <c r="AQ62" s="377"/>
      <c r="AR62" s="377"/>
      <c r="AS62" s="377"/>
      <c r="AT62" s="377"/>
      <c r="AU62" s="377"/>
      <c r="AV62" s="377"/>
      <c r="AW62" s="377"/>
      <c r="AX62" s="377"/>
      <c r="AY62" s="377"/>
      <c r="AZ62" s="377"/>
      <c r="BA62" s="377"/>
      <c r="BB62" s="377"/>
      <c r="BC62" s="377"/>
      <c r="BD62" s="377"/>
      <c r="BE62" s="377"/>
      <c r="BF62" s="377"/>
      <c r="BG62" s="377"/>
      <c r="BH62" s="377"/>
    </row>
    <row r="63" spans="1:60" s="3" customFormat="1" ht="14.25" x14ac:dyDescent="0.2">
      <c r="A63" s="423"/>
      <c r="B63" s="423"/>
      <c r="C63" s="424"/>
      <c r="D63" s="424"/>
      <c r="E63" s="424"/>
      <c r="F63" s="424"/>
      <c r="G63" s="424"/>
      <c r="H63" s="424"/>
      <c r="I63" s="424"/>
      <c r="J63" s="424"/>
      <c r="K63" s="424"/>
      <c r="L63" s="424"/>
      <c r="M63" s="424"/>
      <c r="N63" s="424"/>
      <c r="O63" s="424"/>
      <c r="P63" s="424"/>
      <c r="Q63" s="424"/>
      <c r="R63" s="424"/>
      <c r="S63" s="424"/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123">
        <f t="shared" si="0"/>
        <v>0</v>
      </c>
      <c r="AE63" s="603"/>
      <c r="AF63" s="113">
        <f t="shared" si="1"/>
        <v>0</v>
      </c>
      <c r="AG63" s="465"/>
      <c r="AN63" s="77"/>
      <c r="AP63" s="377"/>
      <c r="AQ63" s="377"/>
      <c r="AR63" s="377"/>
      <c r="AS63" s="377"/>
      <c r="AT63" s="377"/>
      <c r="AU63" s="377"/>
      <c r="AV63" s="377"/>
      <c r="AW63" s="377"/>
      <c r="AX63" s="377"/>
      <c r="AY63" s="377"/>
      <c r="AZ63" s="377"/>
      <c r="BA63" s="377"/>
      <c r="BB63" s="377"/>
      <c r="BC63" s="377"/>
      <c r="BD63" s="377"/>
      <c r="BE63" s="377"/>
      <c r="BF63" s="377"/>
      <c r="BG63" s="377"/>
      <c r="BH63" s="377"/>
    </row>
    <row r="64" spans="1:60" s="3" customFormat="1" ht="14.25" x14ac:dyDescent="0.2">
      <c r="A64" s="425"/>
      <c r="B64" s="425"/>
      <c r="C64" s="426"/>
      <c r="D64" s="426"/>
      <c r="E64" s="426"/>
      <c r="F64" s="426"/>
      <c r="G64" s="426"/>
      <c r="H64" s="426"/>
      <c r="I64" s="426"/>
      <c r="J64" s="426"/>
      <c r="K64" s="426"/>
      <c r="L64" s="426"/>
      <c r="M64" s="426"/>
      <c r="N64" s="426"/>
      <c r="O64" s="426"/>
      <c r="P64" s="426"/>
      <c r="Q64" s="426"/>
      <c r="R64" s="426"/>
      <c r="S64" s="426"/>
      <c r="T64" s="426"/>
      <c r="U64" s="426"/>
      <c r="V64" s="426"/>
      <c r="W64" s="426"/>
      <c r="X64" s="426"/>
      <c r="Y64" s="426"/>
      <c r="Z64" s="426"/>
      <c r="AA64" s="426"/>
      <c r="AB64" s="426"/>
      <c r="AC64" s="426"/>
      <c r="AD64" s="161">
        <f t="shared" si="0"/>
        <v>0</v>
      </c>
      <c r="AE64" s="602"/>
      <c r="AF64" s="160">
        <f t="shared" si="1"/>
        <v>0</v>
      </c>
      <c r="AG64" s="627"/>
      <c r="AN64" s="77"/>
      <c r="AP64" s="377"/>
      <c r="AQ64" s="377"/>
      <c r="AR64" s="377"/>
      <c r="AS64" s="377"/>
      <c r="AT64" s="377"/>
      <c r="AU64" s="377"/>
      <c r="AV64" s="377"/>
      <c r="AW64" s="377"/>
      <c r="AX64" s="377"/>
      <c r="AY64" s="377"/>
      <c r="AZ64" s="377"/>
      <c r="BA64" s="377"/>
      <c r="BB64" s="377"/>
      <c r="BC64" s="377"/>
      <c r="BD64" s="377"/>
      <c r="BE64" s="377"/>
      <c r="BF64" s="377"/>
      <c r="BG64" s="377"/>
      <c r="BH64" s="377"/>
    </row>
    <row r="65" spans="1:60" s="3" customFormat="1" ht="14.25" x14ac:dyDescent="0.2">
      <c r="A65" s="423"/>
      <c r="B65" s="423"/>
      <c r="C65" s="424"/>
      <c r="D65" s="424"/>
      <c r="E65" s="424"/>
      <c r="F65" s="424"/>
      <c r="G65" s="424"/>
      <c r="H65" s="424"/>
      <c r="I65" s="424"/>
      <c r="J65" s="424"/>
      <c r="K65" s="424"/>
      <c r="L65" s="424"/>
      <c r="M65" s="424"/>
      <c r="N65" s="424"/>
      <c r="O65" s="424"/>
      <c r="P65" s="424"/>
      <c r="Q65" s="424"/>
      <c r="R65" s="424"/>
      <c r="S65" s="424"/>
      <c r="T65" s="424"/>
      <c r="U65" s="424"/>
      <c r="V65" s="424"/>
      <c r="W65" s="424"/>
      <c r="X65" s="424"/>
      <c r="Y65" s="424"/>
      <c r="Z65" s="424"/>
      <c r="AA65" s="424"/>
      <c r="AB65" s="424"/>
      <c r="AC65" s="424"/>
      <c r="AD65" s="123">
        <f t="shared" si="0"/>
        <v>0</v>
      </c>
      <c r="AE65" s="603"/>
      <c r="AF65" s="113">
        <f t="shared" si="1"/>
        <v>0</v>
      </c>
      <c r="AG65" s="465"/>
      <c r="AN65" s="77"/>
      <c r="AP65" s="377"/>
      <c r="AQ65" s="377"/>
      <c r="AR65" s="377"/>
      <c r="AS65" s="377"/>
      <c r="AT65" s="377"/>
      <c r="AU65" s="377"/>
      <c r="AV65" s="377"/>
      <c r="AW65" s="377"/>
      <c r="AX65" s="377"/>
      <c r="AY65" s="377"/>
      <c r="AZ65" s="377"/>
      <c r="BA65" s="377"/>
      <c r="BB65" s="377"/>
      <c r="BC65" s="377"/>
      <c r="BD65" s="377"/>
      <c r="BE65" s="377"/>
      <c r="BF65" s="377"/>
      <c r="BG65" s="377"/>
      <c r="BH65" s="377"/>
    </row>
    <row r="66" spans="1:60" s="3" customFormat="1" ht="14.25" x14ac:dyDescent="0.2">
      <c r="A66" s="425"/>
      <c r="B66" s="425"/>
      <c r="C66" s="426"/>
      <c r="D66" s="426"/>
      <c r="E66" s="426"/>
      <c r="F66" s="426"/>
      <c r="G66" s="426"/>
      <c r="H66" s="426"/>
      <c r="I66" s="426"/>
      <c r="J66" s="426"/>
      <c r="K66" s="426"/>
      <c r="L66" s="426"/>
      <c r="M66" s="426"/>
      <c r="N66" s="426"/>
      <c r="O66" s="426"/>
      <c r="P66" s="426"/>
      <c r="Q66" s="426"/>
      <c r="R66" s="426"/>
      <c r="S66" s="426"/>
      <c r="T66" s="426"/>
      <c r="U66" s="426"/>
      <c r="V66" s="426"/>
      <c r="W66" s="426"/>
      <c r="X66" s="426"/>
      <c r="Y66" s="426"/>
      <c r="Z66" s="426"/>
      <c r="AA66" s="426"/>
      <c r="AB66" s="426"/>
      <c r="AC66" s="426"/>
      <c r="AD66" s="161">
        <f t="shared" si="0"/>
        <v>0</v>
      </c>
      <c r="AE66" s="602"/>
      <c r="AF66" s="160">
        <f t="shared" si="1"/>
        <v>0</v>
      </c>
      <c r="AG66" s="627"/>
      <c r="AN66" s="77"/>
      <c r="AP66" s="377"/>
      <c r="AQ66" s="377"/>
      <c r="AR66" s="377"/>
      <c r="AS66" s="377"/>
      <c r="AT66" s="377"/>
      <c r="AU66" s="377"/>
      <c r="AV66" s="377"/>
      <c r="AW66" s="377"/>
      <c r="AX66" s="377"/>
      <c r="AY66" s="377"/>
      <c r="AZ66" s="377"/>
      <c r="BA66" s="377"/>
      <c r="BB66" s="377"/>
      <c r="BC66" s="377"/>
      <c r="BD66" s="377"/>
      <c r="BE66" s="377"/>
      <c r="BF66" s="377"/>
      <c r="BG66" s="377"/>
      <c r="BH66" s="377"/>
    </row>
    <row r="67" spans="1:60" s="3" customFormat="1" ht="14.25" x14ac:dyDescent="0.2">
      <c r="A67" s="423"/>
      <c r="B67" s="423"/>
      <c r="C67" s="424"/>
      <c r="D67" s="424"/>
      <c r="E67" s="424"/>
      <c r="F67" s="424"/>
      <c r="G67" s="424"/>
      <c r="H67" s="424"/>
      <c r="I67" s="424"/>
      <c r="J67" s="424"/>
      <c r="K67" s="424"/>
      <c r="L67" s="424"/>
      <c r="M67" s="424"/>
      <c r="N67" s="424"/>
      <c r="O67" s="424"/>
      <c r="P67" s="424"/>
      <c r="Q67" s="424"/>
      <c r="R67" s="424"/>
      <c r="S67" s="424"/>
      <c r="T67" s="424"/>
      <c r="U67" s="424"/>
      <c r="V67" s="424"/>
      <c r="W67" s="424"/>
      <c r="X67" s="424"/>
      <c r="Y67" s="424"/>
      <c r="Z67" s="424"/>
      <c r="AA67" s="424"/>
      <c r="AB67" s="424"/>
      <c r="AC67" s="424"/>
      <c r="AD67" s="123">
        <f t="shared" si="0"/>
        <v>0</v>
      </c>
      <c r="AE67" s="603"/>
      <c r="AF67" s="113">
        <f t="shared" si="1"/>
        <v>0</v>
      </c>
      <c r="AG67" s="465"/>
      <c r="AN67" s="77"/>
      <c r="AP67" s="377"/>
      <c r="AQ67" s="377"/>
      <c r="AR67" s="377"/>
      <c r="AS67" s="377"/>
      <c r="AT67" s="377"/>
      <c r="AU67" s="377"/>
      <c r="AV67" s="377"/>
      <c r="AW67" s="377"/>
      <c r="AX67" s="377"/>
      <c r="AY67" s="377"/>
      <c r="AZ67" s="377"/>
      <c r="BA67" s="377"/>
      <c r="BB67" s="377"/>
      <c r="BC67" s="377"/>
      <c r="BD67" s="377"/>
      <c r="BE67" s="377"/>
      <c r="BF67" s="377"/>
      <c r="BG67" s="377"/>
      <c r="BH67" s="377"/>
    </row>
    <row r="68" spans="1:60" s="3" customFormat="1" ht="14.25" x14ac:dyDescent="0.2">
      <c r="A68" s="425"/>
      <c r="B68" s="425"/>
      <c r="C68" s="426"/>
      <c r="D68" s="426"/>
      <c r="E68" s="426"/>
      <c r="F68" s="426"/>
      <c r="G68" s="426"/>
      <c r="H68" s="426"/>
      <c r="I68" s="426"/>
      <c r="J68" s="426"/>
      <c r="K68" s="426"/>
      <c r="L68" s="426"/>
      <c r="M68" s="426"/>
      <c r="N68" s="426"/>
      <c r="O68" s="426"/>
      <c r="P68" s="426"/>
      <c r="Q68" s="426"/>
      <c r="R68" s="426"/>
      <c r="S68" s="426"/>
      <c r="T68" s="426"/>
      <c r="U68" s="426"/>
      <c r="V68" s="426"/>
      <c r="W68" s="426"/>
      <c r="X68" s="426"/>
      <c r="Y68" s="426"/>
      <c r="Z68" s="426"/>
      <c r="AA68" s="426"/>
      <c r="AB68" s="426"/>
      <c r="AC68" s="426"/>
      <c r="AD68" s="161">
        <f t="shared" si="0"/>
        <v>0</v>
      </c>
      <c r="AE68" s="602"/>
      <c r="AF68" s="160">
        <f t="shared" si="1"/>
        <v>0</v>
      </c>
      <c r="AG68" s="627"/>
      <c r="AN68" s="77"/>
      <c r="AP68" s="377"/>
      <c r="AQ68" s="377"/>
      <c r="AR68" s="377"/>
      <c r="AS68" s="377"/>
      <c r="AT68" s="377"/>
      <c r="AU68" s="377"/>
      <c r="AV68" s="377"/>
      <c r="AW68" s="377"/>
      <c r="AX68" s="377"/>
      <c r="AY68" s="377"/>
      <c r="AZ68" s="377"/>
      <c r="BA68" s="377"/>
      <c r="BB68" s="377"/>
      <c r="BC68" s="377"/>
      <c r="BD68" s="377"/>
      <c r="BE68" s="377"/>
      <c r="BF68" s="377"/>
      <c r="BG68" s="377"/>
      <c r="BH68" s="377"/>
    </row>
    <row r="69" spans="1:60" s="3" customFormat="1" ht="14.25" x14ac:dyDescent="0.2">
      <c r="A69" s="423"/>
      <c r="B69" s="423"/>
      <c r="C69" s="424"/>
      <c r="D69" s="424"/>
      <c r="E69" s="424"/>
      <c r="F69" s="424"/>
      <c r="G69" s="424"/>
      <c r="H69" s="424"/>
      <c r="I69" s="424"/>
      <c r="J69" s="424"/>
      <c r="K69" s="424"/>
      <c r="L69" s="424"/>
      <c r="M69" s="424"/>
      <c r="N69" s="424"/>
      <c r="O69" s="424"/>
      <c r="P69" s="424"/>
      <c r="Q69" s="424"/>
      <c r="R69" s="424"/>
      <c r="S69" s="424"/>
      <c r="T69" s="424"/>
      <c r="U69" s="424"/>
      <c r="V69" s="424"/>
      <c r="W69" s="424"/>
      <c r="X69" s="424"/>
      <c r="Y69" s="424"/>
      <c r="Z69" s="424"/>
      <c r="AA69" s="424"/>
      <c r="AB69" s="424"/>
      <c r="AC69" s="424"/>
      <c r="AD69" s="123">
        <f t="shared" si="0"/>
        <v>0</v>
      </c>
      <c r="AE69" s="603"/>
      <c r="AF69" s="113">
        <f t="shared" si="1"/>
        <v>0</v>
      </c>
      <c r="AG69" s="465"/>
      <c r="AN69" s="77"/>
      <c r="AP69" s="377"/>
      <c r="AQ69" s="377"/>
      <c r="AR69" s="377"/>
      <c r="AS69" s="377"/>
      <c r="AT69" s="377"/>
      <c r="AU69" s="377"/>
      <c r="AV69" s="377"/>
      <c r="AW69" s="377"/>
      <c r="AX69" s="377"/>
      <c r="AY69" s="377"/>
      <c r="AZ69" s="377"/>
      <c r="BA69" s="377"/>
      <c r="BB69" s="377"/>
      <c r="BC69" s="377"/>
      <c r="BD69" s="377"/>
      <c r="BE69" s="377"/>
      <c r="BF69" s="377"/>
      <c r="BG69" s="377"/>
      <c r="BH69" s="377"/>
    </row>
    <row r="70" spans="1:60" s="3" customFormat="1" ht="14.25" x14ac:dyDescent="0.2">
      <c r="A70" s="425"/>
      <c r="B70" s="425"/>
      <c r="C70" s="426"/>
      <c r="D70" s="426"/>
      <c r="E70" s="426"/>
      <c r="F70" s="426"/>
      <c r="G70" s="426"/>
      <c r="H70" s="426"/>
      <c r="I70" s="426"/>
      <c r="J70" s="426"/>
      <c r="K70" s="426"/>
      <c r="L70" s="426"/>
      <c r="M70" s="426"/>
      <c r="N70" s="426"/>
      <c r="O70" s="426"/>
      <c r="P70" s="426"/>
      <c r="Q70" s="426"/>
      <c r="R70" s="426"/>
      <c r="S70" s="426"/>
      <c r="T70" s="426"/>
      <c r="U70" s="426"/>
      <c r="V70" s="426"/>
      <c r="W70" s="426"/>
      <c r="X70" s="426"/>
      <c r="Y70" s="426"/>
      <c r="Z70" s="426"/>
      <c r="AA70" s="426"/>
      <c r="AB70" s="426"/>
      <c r="AC70" s="426"/>
      <c r="AD70" s="161">
        <f t="shared" si="0"/>
        <v>0</v>
      </c>
      <c r="AE70" s="602"/>
      <c r="AF70" s="160">
        <f t="shared" si="1"/>
        <v>0</v>
      </c>
      <c r="AG70" s="627"/>
      <c r="AN70" s="77"/>
      <c r="AP70" s="377"/>
      <c r="AQ70" s="377"/>
      <c r="AR70" s="377"/>
      <c r="AS70" s="377"/>
      <c r="AT70" s="377"/>
      <c r="AU70" s="377"/>
      <c r="AV70" s="377"/>
      <c r="AW70" s="377"/>
      <c r="AX70" s="377"/>
      <c r="AY70" s="377"/>
      <c r="AZ70" s="377"/>
      <c r="BA70" s="377"/>
      <c r="BB70" s="377"/>
      <c r="BC70" s="377"/>
      <c r="BD70" s="377"/>
      <c r="BE70" s="377"/>
      <c r="BF70" s="377"/>
      <c r="BG70" s="377"/>
      <c r="BH70" s="377"/>
    </row>
    <row r="71" spans="1:60" s="3" customFormat="1" ht="14.25" x14ac:dyDescent="0.2">
      <c r="A71" s="423"/>
      <c r="B71" s="423"/>
      <c r="C71" s="424"/>
      <c r="D71" s="424"/>
      <c r="E71" s="424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424"/>
      <c r="R71" s="424"/>
      <c r="S71" s="424"/>
      <c r="T71" s="424"/>
      <c r="U71" s="424"/>
      <c r="V71" s="424"/>
      <c r="W71" s="424"/>
      <c r="X71" s="424"/>
      <c r="Y71" s="424"/>
      <c r="Z71" s="424"/>
      <c r="AA71" s="424"/>
      <c r="AB71" s="424"/>
      <c r="AC71" s="424"/>
      <c r="AD71" s="123">
        <f t="shared" si="0"/>
        <v>0</v>
      </c>
      <c r="AE71" s="603"/>
      <c r="AF71" s="113">
        <f t="shared" si="1"/>
        <v>0</v>
      </c>
      <c r="AG71" s="465"/>
      <c r="AN71" s="77"/>
      <c r="AP71" s="377"/>
      <c r="AQ71" s="377"/>
      <c r="AR71" s="377"/>
      <c r="AS71" s="377"/>
      <c r="AT71" s="377"/>
      <c r="AU71" s="377"/>
      <c r="AV71" s="377"/>
      <c r="AW71" s="377"/>
      <c r="AX71" s="377"/>
      <c r="AY71" s="377"/>
      <c r="AZ71" s="377"/>
      <c r="BA71" s="377"/>
      <c r="BB71" s="377"/>
      <c r="BC71" s="377"/>
      <c r="BD71" s="377"/>
      <c r="BE71" s="377"/>
      <c r="BF71" s="377"/>
      <c r="BG71" s="377"/>
      <c r="BH71" s="377"/>
    </row>
    <row r="72" spans="1:60" s="3" customFormat="1" ht="14.25" x14ac:dyDescent="0.2">
      <c r="A72" s="425"/>
      <c r="B72" s="425"/>
      <c r="C72" s="426"/>
      <c r="D72" s="426"/>
      <c r="E72" s="426"/>
      <c r="F72" s="426"/>
      <c r="G72" s="426"/>
      <c r="H72" s="426"/>
      <c r="I72" s="426"/>
      <c r="J72" s="426"/>
      <c r="K72" s="426"/>
      <c r="L72" s="426"/>
      <c r="M72" s="426"/>
      <c r="N72" s="426"/>
      <c r="O72" s="426"/>
      <c r="P72" s="426"/>
      <c r="Q72" s="426"/>
      <c r="R72" s="426"/>
      <c r="S72" s="426"/>
      <c r="T72" s="426"/>
      <c r="U72" s="426"/>
      <c r="V72" s="426"/>
      <c r="W72" s="426"/>
      <c r="X72" s="426"/>
      <c r="Y72" s="426"/>
      <c r="Z72" s="426"/>
      <c r="AA72" s="426"/>
      <c r="AB72" s="426"/>
      <c r="AC72" s="426"/>
      <c r="AD72" s="161">
        <f t="shared" si="0"/>
        <v>0</v>
      </c>
      <c r="AE72" s="602"/>
      <c r="AF72" s="160">
        <f t="shared" si="1"/>
        <v>0</v>
      </c>
      <c r="AG72" s="627"/>
      <c r="AN72" s="77"/>
      <c r="AP72" s="377"/>
      <c r="AQ72" s="377"/>
      <c r="AR72" s="377"/>
      <c r="AS72" s="377"/>
      <c r="AT72" s="377"/>
      <c r="AU72" s="377"/>
      <c r="AV72" s="377"/>
      <c r="AW72" s="377"/>
      <c r="AX72" s="377"/>
      <c r="AY72" s="377"/>
      <c r="AZ72" s="377"/>
      <c r="BA72" s="377"/>
      <c r="BB72" s="377"/>
      <c r="BC72" s="377"/>
      <c r="BD72" s="377"/>
      <c r="BE72" s="377"/>
      <c r="BF72" s="377"/>
      <c r="BG72" s="377"/>
      <c r="BH72" s="377"/>
    </row>
    <row r="73" spans="1:60" s="3" customFormat="1" ht="14.25" x14ac:dyDescent="0.2">
      <c r="A73" s="423"/>
      <c r="B73" s="423"/>
      <c r="C73" s="424"/>
      <c r="D73" s="424"/>
      <c r="E73" s="424"/>
      <c r="F73" s="424"/>
      <c r="G73" s="424"/>
      <c r="H73" s="424"/>
      <c r="I73" s="424"/>
      <c r="J73" s="424"/>
      <c r="K73" s="424"/>
      <c r="L73" s="424"/>
      <c r="M73" s="424"/>
      <c r="N73" s="424"/>
      <c r="O73" s="424"/>
      <c r="P73" s="424"/>
      <c r="Q73" s="424"/>
      <c r="R73" s="424"/>
      <c r="S73" s="424"/>
      <c r="T73" s="424"/>
      <c r="U73" s="424"/>
      <c r="V73" s="424"/>
      <c r="W73" s="424"/>
      <c r="X73" s="424"/>
      <c r="Y73" s="424"/>
      <c r="Z73" s="424"/>
      <c r="AA73" s="424"/>
      <c r="AB73" s="424"/>
      <c r="AC73" s="424"/>
      <c r="AD73" s="123">
        <f t="shared" si="0"/>
        <v>0</v>
      </c>
      <c r="AE73" s="603"/>
      <c r="AF73" s="113">
        <f t="shared" si="1"/>
        <v>0</v>
      </c>
      <c r="AG73" s="465"/>
      <c r="AN73" s="77"/>
      <c r="AP73" s="377"/>
      <c r="AQ73" s="377"/>
      <c r="AR73" s="377"/>
      <c r="AS73" s="377"/>
      <c r="AT73" s="377"/>
      <c r="AU73" s="377"/>
      <c r="AV73" s="377"/>
      <c r="AW73" s="377"/>
      <c r="AX73" s="377"/>
      <c r="AY73" s="377"/>
      <c r="AZ73" s="377"/>
      <c r="BA73" s="377"/>
      <c r="BB73" s="377"/>
      <c r="BC73" s="377"/>
      <c r="BD73" s="377"/>
      <c r="BE73" s="377"/>
      <c r="BF73" s="377"/>
      <c r="BG73" s="377"/>
      <c r="BH73" s="377"/>
    </row>
    <row r="74" spans="1:60" s="3" customFormat="1" ht="14.25" x14ac:dyDescent="0.2">
      <c r="A74" s="425"/>
      <c r="B74" s="425"/>
      <c r="C74" s="426"/>
      <c r="D74" s="426"/>
      <c r="E74" s="426"/>
      <c r="F74" s="426"/>
      <c r="G74" s="426"/>
      <c r="H74" s="426"/>
      <c r="I74" s="426"/>
      <c r="J74" s="426"/>
      <c r="K74" s="426"/>
      <c r="L74" s="426"/>
      <c r="M74" s="426"/>
      <c r="N74" s="426"/>
      <c r="O74" s="426"/>
      <c r="P74" s="426"/>
      <c r="Q74" s="426"/>
      <c r="R74" s="426"/>
      <c r="S74" s="426"/>
      <c r="T74" s="426"/>
      <c r="U74" s="426"/>
      <c r="V74" s="426"/>
      <c r="W74" s="426"/>
      <c r="X74" s="426"/>
      <c r="Y74" s="426"/>
      <c r="Z74" s="426"/>
      <c r="AA74" s="426"/>
      <c r="AB74" s="426"/>
      <c r="AC74" s="426"/>
      <c r="AD74" s="161">
        <f t="shared" si="0"/>
        <v>0</v>
      </c>
      <c r="AE74" s="602"/>
      <c r="AF74" s="160">
        <f t="shared" si="1"/>
        <v>0</v>
      </c>
      <c r="AG74" s="627"/>
      <c r="AN74" s="77"/>
      <c r="AP74" s="377"/>
      <c r="AQ74" s="377"/>
      <c r="AR74" s="377"/>
      <c r="AS74" s="377"/>
      <c r="AT74" s="377"/>
      <c r="AU74" s="377"/>
      <c r="AV74" s="377"/>
      <c r="AW74" s="377"/>
      <c r="AX74" s="377"/>
      <c r="AY74" s="377"/>
      <c r="AZ74" s="377"/>
      <c r="BA74" s="377"/>
      <c r="BB74" s="377"/>
      <c r="BC74" s="377"/>
      <c r="BD74" s="377"/>
      <c r="BE74" s="377"/>
      <c r="BF74" s="377"/>
      <c r="BG74" s="377"/>
      <c r="BH74" s="377"/>
    </row>
    <row r="75" spans="1:60" s="3" customFormat="1" ht="14.25" x14ac:dyDescent="0.2">
      <c r="A75" s="423"/>
      <c r="B75" s="423"/>
      <c r="C75" s="424"/>
      <c r="D75" s="424"/>
      <c r="E75" s="424"/>
      <c r="F75" s="424"/>
      <c r="G75" s="424"/>
      <c r="H75" s="424"/>
      <c r="I75" s="424"/>
      <c r="J75" s="424"/>
      <c r="K75" s="424"/>
      <c r="L75" s="424"/>
      <c r="M75" s="424"/>
      <c r="N75" s="424"/>
      <c r="O75" s="424"/>
      <c r="P75" s="424"/>
      <c r="Q75" s="424"/>
      <c r="R75" s="424"/>
      <c r="S75" s="424"/>
      <c r="T75" s="424"/>
      <c r="U75" s="424"/>
      <c r="V75" s="424"/>
      <c r="W75" s="424"/>
      <c r="X75" s="424"/>
      <c r="Y75" s="424"/>
      <c r="Z75" s="424"/>
      <c r="AA75" s="424"/>
      <c r="AB75" s="424"/>
      <c r="AC75" s="424"/>
      <c r="AD75" s="123">
        <f t="shared" si="0"/>
        <v>0</v>
      </c>
      <c r="AE75" s="603"/>
      <c r="AF75" s="113">
        <f t="shared" si="1"/>
        <v>0</v>
      </c>
      <c r="AG75" s="465"/>
      <c r="AN75" s="77"/>
      <c r="AP75" s="377"/>
      <c r="AQ75" s="377"/>
      <c r="AR75" s="377"/>
      <c r="AS75" s="377"/>
      <c r="AT75" s="377"/>
      <c r="AU75" s="377"/>
      <c r="AV75" s="377"/>
      <c r="AW75" s="377"/>
      <c r="AX75" s="377"/>
      <c r="AY75" s="377"/>
      <c r="AZ75" s="377"/>
      <c r="BA75" s="377"/>
      <c r="BB75" s="377"/>
      <c r="BC75" s="377"/>
      <c r="BD75" s="377"/>
      <c r="BE75" s="377"/>
      <c r="BF75" s="377"/>
      <c r="BG75" s="377"/>
      <c r="BH75" s="377"/>
    </row>
    <row r="76" spans="1:60" s="3" customFormat="1" ht="14.25" x14ac:dyDescent="0.2">
      <c r="A76" s="425"/>
      <c r="B76" s="425"/>
      <c r="C76" s="426"/>
      <c r="D76" s="426"/>
      <c r="E76" s="426"/>
      <c r="F76" s="426"/>
      <c r="G76" s="426"/>
      <c r="H76" s="426"/>
      <c r="I76" s="426"/>
      <c r="J76" s="426"/>
      <c r="K76" s="426"/>
      <c r="L76" s="426"/>
      <c r="M76" s="426"/>
      <c r="N76" s="426"/>
      <c r="O76" s="426"/>
      <c r="P76" s="426"/>
      <c r="Q76" s="426"/>
      <c r="R76" s="426"/>
      <c r="S76" s="426"/>
      <c r="T76" s="426"/>
      <c r="U76" s="426"/>
      <c r="V76" s="426"/>
      <c r="W76" s="426"/>
      <c r="X76" s="426"/>
      <c r="Y76" s="426"/>
      <c r="Z76" s="426"/>
      <c r="AA76" s="426"/>
      <c r="AB76" s="426"/>
      <c r="AC76" s="426"/>
      <c r="AD76" s="161">
        <f t="shared" si="0"/>
        <v>0</v>
      </c>
      <c r="AE76" s="602"/>
      <c r="AF76" s="160">
        <f t="shared" si="1"/>
        <v>0</v>
      </c>
      <c r="AG76" s="627"/>
      <c r="AN76" s="77"/>
      <c r="AP76" s="377"/>
      <c r="AQ76" s="377"/>
      <c r="AR76" s="377"/>
      <c r="AS76" s="377"/>
      <c r="AT76" s="377"/>
      <c r="AU76" s="377"/>
      <c r="AV76" s="377"/>
      <c r="AW76" s="377"/>
      <c r="AX76" s="377"/>
      <c r="AY76" s="377"/>
      <c r="AZ76" s="377"/>
      <c r="BA76" s="377"/>
      <c r="BB76" s="377"/>
      <c r="BC76" s="377"/>
      <c r="BD76" s="377"/>
      <c r="BE76" s="377"/>
      <c r="BF76" s="377"/>
      <c r="BG76" s="377"/>
      <c r="BH76" s="377"/>
    </row>
    <row r="77" spans="1:60" s="3" customFormat="1" ht="14.25" x14ac:dyDescent="0.2">
      <c r="A77" s="423"/>
      <c r="B77" s="423"/>
      <c r="C77" s="424"/>
      <c r="D77" s="424"/>
      <c r="E77" s="424"/>
      <c r="F77" s="424"/>
      <c r="G77" s="424"/>
      <c r="H77" s="424"/>
      <c r="I77" s="424"/>
      <c r="J77" s="424"/>
      <c r="K77" s="424"/>
      <c r="L77" s="424"/>
      <c r="M77" s="424"/>
      <c r="N77" s="424"/>
      <c r="O77" s="424"/>
      <c r="P77" s="424"/>
      <c r="Q77" s="424"/>
      <c r="R77" s="424"/>
      <c r="S77" s="424"/>
      <c r="T77" s="424"/>
      <c r="U77" s="424"/>
      <c r="V77" s="424"/>
      <c r="W77" s="424"/>
      <c r="X77" s="424"/>
      <c r="Y77" s="424"/>
      <c r="Z77" s="424"/>
      <c r="AA77" s="424"/>
      <c r="AB77" s="424"/>
      <c r="AC77" s="424"/>
      <c r="AD77" s="123">
        <f t="shared" si="0"/>
        <v>0</v>
      </c>
      <c r="AE77" s="603"/>
      <c r="AF77" s="113">
        <f t="shared" si="1"/>
        <v>0</v>
      </c>
      <c r="AG77" s="465"/>
      <c r="AN77" s="77"/>
      <c r="AP77" s="377"/>
      <c r="AQ77" s="377"/>
      <c r="AR77" s="377"/>
      <c r="AS77" s="377"/>
      <c r="AT77" s="377"/>
      <c r="AU77" s="377"/>
      <c r="AV77" s="377"/>
      <c r="AW77" s="377"/>
      <c r="AX77" s="377"/>
      <c r="AY77" s="377"/>
      <c r="AZ77" s="377"/>
      <c r="BA77" s="377"/>
      <c r="BB77" s="377"/>
      <c r="BC77" s="377"/>
      <c r="BD77" s="377"/>
      <c r="BE77" s="377"/>
      <c r="BF77" s="377"/>
      <c r="BG77" s="377"/>
      <c r="BH77" s="377"/>
    </row>
    <row r="78" spans="1:60" s="3" customFormat="1" ht="14.25" x14ac:dyDescent="0.2">
      <c r="A78" s="425"/>
      <c r="B78" s="425"/>
      <c r="C78" s="426"/>
      <c r="D78" s="426"/>
      <c r="E78" s="426"/>
      <c r="F78" s="426"/>
      <c r="G78" s="426"/>
      <c r="H78" s="426"/>
      <c r="I78" s="426"/>
      <c r="J78" s="426"/>
      <c r="K78" s="426"/>
      <c r="L78" s="426"/>
      <c r="M78" s="426"/>
      <c r="N78" s="426"/>
      <c r="O78" s="426"/>
      <c r="P78" s="426"/>
      <c r="Q78" s="426"/>
      <c r="R78" s="426"/>
      <c r="S78" s="426"/>
      <c r="T78" s="426"/>
      <c r="U78" s="426"/>
      <c r="V78" s="426"/>
      <c r="W78" s="426"/>
      <c r="X78" s="426"/>
      <c r="Y78" s="426"/>
      <c r="Z78" s="426"/>
      <c r="AA78" s="426"/>
      <c r="AB78" s="426"/>
      <c r="AC78" s="426"/>
      <c r="AD78" s="161">
        <f t="shared" si="0"/>
        <v>0</v>
      </c>
      <c r="AE78" s="602"/>
      <c r="AF78" s="160">
        <f t="shared" si="1"/>
        <v>0</v>
      </c>
      <c r="AG78" s="627"/>
      <c r="AN78" s="77"/>
      <c r="AP78" s="377"/>
      <c r="AQ78" s="377"/>
      <c r="AR78" s="377"/>
      <c r="AS78" s="377"/>
      <c r="AT78" s="377"/>
      <c r="AU78" s="377"/>
      <c r="AV78" s="377"/>
      <c r="AW78" s="377"/>
      <c r="AX78" s="377"/>
      <c r="AY78" s="377"/>
      <c r="AZ78" s="377"/>
      <c r="BA78" s="377"/>
      <c r="BB78" s="377"/>
      <c r="BC78" s="377"/>
      <c r="BD78" s="377"/>
      <c r="BE78" s="377"/>
      <c r="BF78" s="377"/>
      <c r="BG78" s="377"/>
      <c r="BH78" s="377"/>
    </row>
    <row r="79" spans="1:60" s="3" customFormat="1" ht="14.25" x14ac:dyDescent="0.2">
      <c r="A79" s="423"/>
      <c r="B79" s="423"/>
      <c r="C79" s="424"/>
      <c r="D79" s="424"/>
      <c r="E79" s="424"/>
      <c r="F79" s="424"/>
      <c r="G79" s="424"/>
      <c r="H79" s="424"/>
      <c r="I79" s="424"/>
      <c r="J79" s="424"/>
      <c r="K79" s="424"/>
      <c r="L79" s="424"/>
      <c r="M79" s="424"/>
      <c r="N79" s="424"/>
      <c r="O79" s="424"/>
      <c r="P79" s="424"/>
      <c r="Q79" s="424"/>
      <c r="R79" s="424"/>
      <c r="S79" s="424"/>
      <c r="T79" s="424"/>
      <c r="U79" s="424"/>
      <c r="V79" s="424"/>
      <c r="W79" s="424"/>
      <c r="X79" s="424"/>
      <c r="Y79" s="424"/>
      <c r="Z79" s="424"/>
      <c r="AA79" s="424"/>
      <c r="AB79" s="424"/>
      <c r="AC79" s="424"/>
      <c r="AD79" s="123">
        <f t="shared" si="0"/>
        <v>0</v>
      </c>
      <c r="AE79" s="603"/>
      <c r="AF79" s="113">
        <f t="shared" ref="AF79:AF142" si="2">AD79*AE79</f>
        <v>0</v>
      </c>
      <c r="AG79" s="465"/>
      <c r="AN79" s="77"/>
      <c r="AP79" s="377"/>
      <c r="AQ79" s="377"/>
      <c r="AR79" s="377"/>
      <c r="AS79" s="377"/>
      <c r="AT79" s="377"/>
      <c r="AU79" s="377"/>
      <c r="AV79" s="377"/>
      <c r="AW79" s="377"/>
      <c r="AX79" s="377"/>
      <c r="AY79" s="377"/>
      <c r="AZ79" s="377"/>
      <c r="BA79" s="377"/>
      <c r="BB79" s="377"/>
      <c r="BC79" s="377"/>
      <c r="BD79" s="377"/>
      <c r="BE79" s="377"/>
      <c r="BF79" s="377"/>
      <c r="BG79" s="377"/>
      <c r="BH79" s="377"/>
    </row>
    <row r="80" spans="1:60" s="3" customFormat="1" ht="14.25" x14ac:dyDescent="0.2">
      <c r="A80" s="425"/>
      <c r="B80" s="425"/>
      <c r="C80" s="426"/>
      <c r="D80" s="426"/>
      <c r="E80" s="426"/>
      <c r="F80" s="426"/>
      <c r="G80" s="426"/>
      <c r="H80" s="426"/>
      <c r="I80" s="426"/>
      <c r="J80" s="426"/>
      <c r="K80" s="426"/>
      <c r="L80" s="426"/>
      <c r="M80" s="426"/>
      <c r="N80" s="426"/>
      <c r="O80" s="426"/>
      <c r="P80" s="426"/>
      <c r="Q80" s="426"/>
      <c r="R80" s="426"/>
      <c r="S80" s="426"/>
      <c r="T80" s="426"/>
      <c r="U80" s="426"/>
      <c r="V80" s="426"/>
      <c r="W80" s="426"/>
      <c r="X80" s="426"/>
      <c r="Y80" s="426"/>
      <c r="Z80" s="426"/>
      <c r="AA80" s="426"/>
      <c r="AB80" s="426"/>
      <c r="AC80" s="426"/>
      <c r="AD80" s="161">
        <f t="shared" si="0"/>
        <v>0</v>
      </c>
      <c r="AE80" s="602"/>
      <c r="AF80" s="160">
        <f t="shared" si="2"/>
        <v>0</v>
      </c>
      <c r="AG80" s="627"/>
      <c r="AN80" s="77"/>
      <c r="AP80" s="377"/>
      <c r="AQ80" s="377"/>
      <c r="AR80" s="377"/>
      <c r="AS80" s="377"/>
      <c r="AT80" s="377"/>
      <c r="AU80" s="377"/>
      <c r="AV80" s="377"/>
      <c r="AW80" s="377"/>
      <c r="AX80" s="377"/>
      <c r="AY80" s="377"/>
      <c r="AZ80" s="377"/>
      <c r="BA80" s="377"/>
      <c r="BB80" s="377"/>
      <c r="BC80" s="377"/>
      <c r="BD80" s="377"/>
      <c r="BE80" s="377"/>
      <c r="BF80" s="377"/>
      <c r="BG80" s="377"/>
      <c r="BH80" s="377"/>
    </row>
    <row r="81" spans="1:60" s="3" customFormat="1" ht="14.25" x14ac:dyDescent="0.2">
      <c r="A81" s="423"/>
      <c r="B81" s="423"/>
      <c r="C81" s="424"/>
      <c r="D81" s="424"/>
      <c r="E81" s="424"/>
      <c r="F81" s="424"/>
      <c r="G81" s="424"/>
      <c r="H81" s="424"/>
      <c r="I81" s="424"/>
      <c r="J81" s="424"/>
      <c r="K81" s="424"/>
      <c r="L81" s="424"/>
      <c r="M81" s="424"/>
      <c r="N81" s="424"/>
      <c r="O81" s="424"/>
      <c r="P81" s="424"/>
      <c r="Q81" s="424"/>
      <c r="R81" s="424"/>
      <c r="S81" s="424"/>
      <c r="T81" s="424"/>
      <c r="U81" s="424"/>
      <c r="V81" s="424"/>
      <c r="W81" s="424"/>
      <c r="X81" s="424"/>
      <c r="Y81" s="424"/>
      <c r="Z81" s="424"/>
      <c r="AA81" s="424"/>
      <c r="AB81" s="424"/>
      <c r="AC81" s="424"/>
      <c r="AD81" s="123">
        <f t="shared" si="0"/>
        <v>0</v>
      </c>
      <c r="AE81" s="603"/>
      <c r="AF81" s="113">
        <f t="shared" si="2"/>
        <v>0</v>
      </c>
      <c r="AG81" s="465"/>
      <c r="AN81" s="77"/>
      <c r="AP81" s="377"/>
      <c r="AQ81" s="377"/>
      <c r="AR81" s="377"/>
      <c r="AS81" s="377"/>
      <c r="AT81" s="377"/>
      <c r="AU81" s="377"/>
      <c r="AV81" s="377"/>
      <c r="AW81" s="377"/>
      <c r="AX81" s="377"/>
      <c r="AY81" s="377"/>
      <c r="AZ81" s="377"/>
      <c r="BA81" s="377"/>
      <c r="BB81" s="377"/>
      <c r="BC81" s="377"/>
      <c r="BD81" s="377"/>
      <c r="BE81" s="377"/>
      <c r="BF81" s="377"/>
      <c r="BG81" s="377"/>
      <c r="BH81" s="377"/>
    </row>
    <row r="82" spans="1:60" s="3" customFormat="1" ht="14.25" x14ac:dyDescent="0.2">
      <c r="A82" s="425"/>
      <c r="B82" s="425"/>
      <c r="C82" s="426"/>
      <c r="D82" s="426"/>
      <c r="E82" s="426"/>
      <c r="F82" s="426"/>
      <c r="G82" s="426"/>
      <c r="H82" s="426"/>
      <c r="I82" s="426"/>
      <c r="J82" s="426"/>
      <c r="K82" s="426"/>
      <c r="L82" s="426"/>
      <c r="M82" s="426"/>
      <c r="N82" s="426"/>
      <c r="O82" s="426"/>
      <c r="P82" s="426"/>
      <c r="Q82" s="426"/>
      <c r="R82" s="426"/>
      <c r="S82" s="426"/>
      <c r="T82" s="426"/>
      <c r="U82" s="426"/>
      <c r="V82" s="426"/>
      <c r="W82" s="426"/>
      <c r="X82" s="426"/>
      <c r="Y82" s="426"/>
      <c r="Z82" s="426"/>
      <c r="AA82" s="426"/>
      <c r="AB82" s="426"/>
      <c r="AC82" s="426"/>
      <c r="AD82" s="161">
        <f t="shared" si="0"/>
        <v>0</v>
      </c>
      <c r="AE82" s="602"/>
      <c r="AF82" s="160">
        <f t="shared" si="2"/>
        <v>0</v>
      </c>
      <c r="AG82" s="627"/>
      <c r="AN82" s="77"/>
      <c r="AP82" s="377"/>
      <c r="AQ82" s="377"/>
      <c r="AR82" s="377"/>
      <c r="AS82" s="377"/>
      <c r="AT82" s="377"/>
      <c r="AU82" s="377"/>
      <c r="AV82" s="377"/>
      <c r="AW82" s="377"/>
      <c r="AX82" s="377"/>
      <c r="AY82" s="377"/>
      <c r="AZ82" s="377"/>
      <c r="BA82" s="377"/>
      <c r="BB82" s="377"/>
      <c r="BC82" s="377"/>
      <c r="BD82" s="377"/>
      <c r="BE82" s="377"/>
      <c r="BF82" s="377"/>
      <c r="BG82" s="377"/>
      <c r="BH82" s="377"/>
    </row>
    <row r="83" spans="1:60" s="3" customFormat="1" ht="14.25" x14ac:dyDescent="0.2">
      <c r="A83" s="423"/>
      <c r="B83" s="423"/>
      <c r="C83" s="424"/>
      <c r="D83" s="424"/>
      <c r="E83" s="424"/>
      <c r="F83" s="424"/>
      <c r="G83" s="424"/>
      <c r="H83" s="424"/>
      <c r="I83" s="424"/>
      <c r="J83" s="424"/>
      <c r="K83" s="424"/>
      <c r="L83" s="424"/>
      <c r="M83" s="424"/>
      <c r="N83" s="424"/>
      <c r="O83" s="424"/>
      <c r="P83" s="424"/>
      <c r="Q83" s="424"/>
      <c r="R83" s="424"/>
      <c r="S83" s="424"/>
      <c r="T83" s="424"/>
      <c r="U83" s="424"/>
      <c r="V83" s="424"/>
      <c r="W83" s="424"/>
      <c r="X83" s="424"/>
      <c r="Y83" s="424"/>
      <c r="Z83" s="424"/>
      <c r="AA83" s="424"/>
      <c r="AB83" s="424"/>
      <c r="AC83" s="424"/>
      <c r="AD83" s="123">
        <f t="shared" si="0"/>
        <v>0</v>
      </c>
      <c r="AE83" s="603"/>
      <c r="AF83" s="113">
        <f t="shared" si="2"/>
        <v>0</v>
      </c>
      <c r="AG83" s="465"/>
      <c r="AN83" s="77"/>
      <c r="AP83" s="377"/>
      <c r="AQ83" s="377"/>
      <c r="AR83" s="377"/>
      <c r="AS83" s="377"/>
      <c r="AT83" s="377"/>
      <c r="AU83" s="377"/>
      <c r="AV83" s="377"/>
      <c r="AW83" s="377"/>
      <c r="AX83" s="377"/>
      <c r="AY83" s="377"/>
      <c r="AZ83" s="377"/>
      <c r="BA83" s="377"/>
      <c r="BB83" s="377"/>
      <c r="BC83" s="377"/>
      <c r="BD83" s="377"/>
      <c r="BE83" s="377"/>
      <c r="BF83" s="377"/>
      <c r="BG83" s="377"/>
      <c r="BH83" s="377"/>
    </row>
    <row r="84" spans="1:60" s="3" customFormat="1" ht="14.25" x14ac:dyDescent="0.2">
      <c r="A84" s="425"/>
      <c r="B84" s="425"/>
      <c r="C84" s="426"/>
      <c r="D84" s="426"/>
      <c r="E84" s="426"/>
      <c r="F84" s="426"/>
      <c r="G84" s="426"/>
      <c r="H84" s="426"/>
      <c r="I84" s="426"/>
      <c r="J84" s="426"/>
      <c r="K84" s="426"/>
      <c r="L84" s="426"/>
      <c r="M84" s="426"/>
      <c r="N84" s="426"/>
      <c r="O84" s="426"/>
      <c r="P84" s="426"/>
      <c r="Q84" s="426"/>
      <c r="R84" s="426"/>
      <c r="S84" s="426"/>
      <c r="T84" s="426"/>
      <c r="U84" s="426"/>
      <c r="V84" s="426"/>
      <c r="W84" s="426"/>
      <c r="X84" s="426"/>
      <c r="Y84" s="426"/>
      <c r="Z84" s="426"/>
      <c r="AA84" s="426"/>
      <c r="AB84" s="426"/>
      <c r="AC84" s="426"/>
      <c r="AD84" s="161">
        <f t="shared" si="0"/>
        <v>0</v>
      </c>
      <c r="AE84" s="602"/>
      <c r="AF84" s="160">
        <f t="shared" si="2"/>
        <v>0</v>
      </c>
      <c r="AG84" s="627"/>
      <c r="AN84" s="77"/>
      <c r="AP84" s="377"/>
      <c r="AQ84" s="377"/>
      <c r="AR84" s="377"/>
      <c r="AS84" s="377"/>
      <c r="AT84" s="377"/>
      <c r="AU84" s="377"/>
      <c r="AV84" s="377"/>
      <c r="AW84" s="377"/>
      <c r="AX84" s="377"/>
      <c r="AY84" s="377"/>
      <c r="AZ84" s="377"/>
      <c r="BA84" s="377"/>
      <c r="BB84" s="377"/>
      <c r="BC84" s="377"/>
      <c r="BD84" s="377"/>
      <c r="BE84" s="377"/>
      <c r="BF84" s="377"/>
      <c r="BG84" s="377"/>
      <c r="BH84" s="377"/>
    </row>
    <row r="85" spans="1:60" s="3" customFormat="1" ht="14.25" x14ac:dyDescent="0.2">
      <c r="A85" s="423"/>
      <c r="B85" s="423"/>
      <c r="C85" s="424"/>
      <c r="D85" s="424"/>
      <c r="E85" s="424"/>
      <c r="F85" s="424"/>
      <c r="G85" s="424"/>
      <c r="H85" s="424"/>
      <c r="I85" s="424"/>
      <c r="J85" s="424"/>
      <c r="K85" s="424"/>
      <c r="L85" s="424"/>
      <c r="M85" s="424"/>
      <c r="N85" s="424"/>
      <c r="O85" s="424"/>
      <c r="P85" s="424"/>
      <c r="Q85" s="424"/>
      <c r="R85" s="424"/>
      <c r="S85" s="424"/>
      <c r="T85" s="424"/>
      <c r="U85" s="424"/>
      <c r="V85" s="424"/>
      <c r="W85" s="424"/>
      <c r="X85" s="424"/>
      <c r="Y85" s="424"/>
      <c r="Z85" s="424"/>
      <c r="AA85" s="424"/>
      <c r="AB85" s="424"/>
      <c r="AC85" s="424"/>
      <c r="AD85" s="123">
        <f t="shared" si="0"/>
        <v>0</v>
      </c>
      <c r="AE85" s="603"/>
      <c r="AF85" s="113">
        <f t="shared" si="2"/>
        <v>0</v>
      </c>
      <c r="AG85" s="465"/>
      <c r="AN85" s="77"/>
      <c r="AP85" s="377"/>
      <c r="AQ85" s="377"/>
      <c r="AR85" s="377"/>
      <c r="AS85" s="377"/>
      <c r="AT85" s="377"/>
      <c r="AU85" s="377"/>
      <c r="AV85" s="377"/>
      <c r="AW85" s="377"/>
      <c r="AX85" s="377"/>
      <c r="AY85" s="377"/>
      <c r="AZ85" s="377"/>
      <c r="BA85" s="377"/>
      <c r="BB85" s="377"/>
      <c r="BC85" s="377"/>
      <c r="BD85" s="377"/>
      <c r="BE85" s="377"/>
      <c r="BF85" s="377"/>
      <c r="BG85" s="377"/>
      <c r="BH85" s="377"/>
    </row>
    <row r="86" spans="1:60" s="3" customFormat="1" ht="14.25" x14ac:dyDescent="0.2">
      <c r="A86" s="425"/>
      <c r="B86" s="425"/>
      <c r="C86" s="426"/>
      <c r="D86" s="426"/>
      <c r="E86" s="426"/>
      <c r="F86" s="426"/>
      <c r="G86" s="426"/>
      <c r="H86" s="426"/>
      <c r="I86" s="426"/>
      <c r="J86" s="426"/>
      <c r="K86" s="426"/>
      <c r="L86" s="426"/>
      <c r="M86" s="426"/>
      <c r="N86" s="426"/>
      <c r="O86" s="426"/>
      <c r="P86" s="426"/>
      <c r="Q86" s="426"/>
      <c r="R86" s="426"/>
      <c r="S86" s="426"/>
      <c r="T86" s="426"/>
      <c r="U86" s="426"/>
      <c r="V86" s="426"/>
      <c r="W86" s="426"/>
      <c r="X86" s="426"/>
      <c r="Y86" s="426"/>
      <c r="Z86" s="426"/>
      <c r="AA86" s="426"/>
      <c r="AB86" s="426"/>
      <c r="AC86" s="426"/>
      <c r="AD86" s="161">
        <f t="shared" si="0"/>
        <v>0</v>
      </c>
      <c r="AE86" s="602"/>
      <c r="AF86" s="160">
        <f t="shared" si="2"/>
        <v>0</v>
      </c>
      <c r="AG86" s="627"/>
      <c r="AN86" s="77"/>
      <c r="AP86" s="377"/>
      <c r="AQ86" s="377"/>
      <c r="AR86" s="377"/>
      <c r="AS86" s="377"/>
      <c r="AT86" s="377"/>
      <c r="AU86" s="377"/>
      <c r="AV86" s="377"/>
      <c r="AW86" s="377"/>
      <c r="AX86" s="377"/>
      <c r="AY86" s="377"/>
      <c r="AZ86" s="377"/>
      <c r="BA86" s="377"/>
      <c r="BB86" s="377"/>
      <c r="BC86" s="377"/>
      <c r="BD86" s="377"/>
      <c r="BE86" s="377"/>
      <c r="BF86" s="377"/>
      <c r="BG86" s="377"/>
      <c r="BH86" s="377"/>
    </row>
    <row r="87" spans="1:60" s="3" customFormat="1" ht="14.25" x14ac:dyDescent="0.2">
      <c r="A87" s="423"/>
      <c r="B87" s="423"/>
      <c r="C87" s="424"/>
      <c r="D87" s="424"/>
      <c r="E87" s="424"/>
      <c r="F87" s="424"/>
      <c r="G87" s="424"/>
      <c r="H87" s="424"/>
      <c r="I87" s="424"/>
      <c r="J87" s="424"/>
      <c r="K87" s="424"/>
      <c r="L87" s="424"/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24"/>
      <c r="X87" s="424"/>
      <c r="Y87" s="424"/>
      <c r="Z87" s="424"/>
      <c r="AA87" s="424"/>
      <c r="AB87" s="424"/>
      <c r="AC87" s="424"/>
      <c r="AD87" s="123">
        <f t="shared" si="0"/>
        <v>0</v>
      </c>
      <c r="AE87" s="603"/>
      <c r="AF87" s="113">
        <f t="shared" si="2"/>
        <v>0</v>
      </c>
      <c r="AG87" s="465"/>
      <c r="AN87" s="77"/>
      <c r="AP87" s="377"/>
      <c r="AQ87" s="377"/>
      <c r="AR87" s="377"/>
      <c r="AS87" s="377"/>
      <c r="AT87" s="377"/>
      <c r="AU87" s="377"/>
      <c r="AV87" s="377"/>
      <c r="AW87" s="377"/>
      <c r="AX87" s="377"/>
      <c r="AY87" s="377"/>
      <c r="AZ87" s="377"/>
      <c r="BA87" s="377"/>
      <c r="BB87" s="377"/>
      <c r="BC87" s="377"/>
      <c r="BD87" s="377"/>
      <c r="BE87" s="377"/>
      <c r="BF87" s="377"/>
      <c r="BG87" s="377"/>
      <c r="BH87" s="377"/>
    </row>
    <row r="88" spans="1:60" s="3" customFormat="1" ht="14.25" x14ac:dyDescent="0.2">
      <c r="A88" s="425"/>
      <c r="B88" s="425"/>
      <c r="C88" s="426"/>
      <c r="D88" s="426"/>
      <c r="E88" s="426"/>
      <c r="F88" s="426"/>
      <c r="G88" s="426"/>
      <c r="H88" s="426"/>
      <c r="I88" s="426"/>
      <c r="J88" s="426"/>
      <c r="K88" s="426"/>
      <c r="L88" s="426"/>
      <c r="M88" s="426"/>
      <c r="N88" s="426"/>
      <c r="O88" s="426"/>
      <c r="P88" s="426"/>
      <c r="Q88" s="426"/>
      <c r="R88" s="426"/>
      <c r="S88" s="426"/>
      <c r="T88" s="426"/>
      <c r="U88" s="426"/>
      <c r="V88" s="426"/>
      <c r="W88" s="426"/>
      <c r="X88" s="426"/>
      <c r="Y88" s="426"/>
      <c r="Z88" s="426"/>
      <c r="AA88" s="426"/>
      <c r="AB88" s="426"/>
      <c r="AC88" s="426"/>
      <c r="AD88" s="161">
        <f t="shared" si="0"/>
        <v>0</v>
      </c>
      <c r="AE88" s="602"/>
      <c r="AF88" s="160">
        <f t="shared" si="2"/>
        <v>0</v>
      </c>
      <c r="AG88" s="627"/>
      <c r="AN88" s="77"/>
      <c r="AP88" s="377"/>
      <c r="AQ88" s="377"/>
      <c r="AR88" s="377"/>
      <c r="AS88" s="377"/>
      <c r="AT88" s="377"/>
      <c r="AU88" s="377"/>
      <c r="AV88" s="377"/>
      <c r="AW88" s="377"/>
      <c r="AX88" s="377"/>
      <c r="AY88" s="377"/>
      <c r="AZ88" s="377"/>
      <c r="BA88" s="377"/>
      <c r="BB88" s="377"/>
      <c r="BC88" s="377"/>
      <c r="BD88" s="377"/>
      <c r="BE88" s="377"/>
      <c r="BF88" s="377"/>
      <c r="BG88" s="377"/>
      <c r="BH88" s="377"/>
    </row>
    <row r="89" spans="1:60" s="3" customFormat="1" ht="14.25" x14ac:dyDescent="0.2">
      <c r="A89" s="423"/>
      <c r="B89" s="423"/>
      <c r="C89" s="424"/>
      <c r="D89" s="424"/>
      <c r="E89" s="424"/>
      <c r="F89" s="424"/>
      <c r="G89" s="424"/>
      <c r="H89" s="424"/>
      <c r="I89" s="424"/>
      <c r="J89" s="424"/>
      <c r="K89" s="424"/>
      <c r="L89" s="424"/>
      <c r="M89" s="424"/>
      <c r="N89" s="424"/>
      <c r="O89" s="424"/>
      <c r="P89" s="424"/>
      <c r="Q89" s="424"/>
      <c r="R89" s="424"/>
      <c r="S89" s="424"/>
      <c r="T89" s="424"/>
      <c r="U89" s="424"/>
      <c r="V89" s="424"/>
      <c r="W89" s="424"/>
      <c r="X89" s="424"/>
      <c r="Y89" s="424"/>
      <c r="Z89" s="424"/>
      <c r="AA89" s="424"/>
      <c r="AB89" s="424"/>
      <c r="AC89" s="424"/>
      <c r="AD89" s="123">
        <f t="shared" si="0"/>
        <v>0</v>
      </c>
      <c r="AE89" s="603"/>
      <c r="AF89" s="113">
        <f t="shared" si="2"/>
        <v>0</v>
      </c>
      <c r="AG89" s="465"/>
      <c r="AN89" s="77"/>
      <c r="AP89" s="377"/>
      <c r="AQ89" s="377"/>
      <c r="AR89" s="377"/>
      <c r="AS89" s="377"/>
      <c r="AT89" s="377"/>
      <c r="AU89" s="377"/>
      <c r="AV89" s="377"/>
      <c r="AW89" s="377"/>
      <c r="AX89" s="377"/>
      <c r="AY89" s="377"/>
      <c r="AZ89" s="377"/>
      <c r="BA89" s="377"/>
      <c r="BB89" s="377"/>
      <c r="BC89" s="377"/>
      <c r="BD89" s="377"/>
      <c r="BE89" s="377"/>
      <c r="BF89" s="377"/>
      <c r="BG89" s="377"/>
      <c r="BH89" s="377"/>
    </row>
    <row r="90" spans="1:60" s="3" customFormat="1" ht="14.25" x14ac:dyDescent="0.2">
      <c r="A90" s="425"/>
      <c r="B90" s="425"/>
      <c r="C90" s="426"/>
      <c r="D90" s="426"/>
      <c r="E90" s="426"/>
      <c r="F90" s="426"/>
      <c r="G90" s="426"/>
      <c r="H90" s="426"/>
      <c r="I90" s="426"/>
      <c r="J90" s="426"/>
      <c r="K90" s="426"/>
      <c r="L90" s="426"/>
      <c r="M90" s="426"/>
      <c r="N90" s="426"/>
      <c r="O90" s="426"/>
      <c r="P90" s="426"/>
      <c r="Q90" s="426"/>
      <c r="R90" s="426"/>
      <c r="S90" s="426"/>
      <c r="T90" s="426"/>
      <c r="U90" s="426"/>
      <c r="V90" s="426"/>
      <c r="W90" s="426"/>
      <c r="X90" s="426"/>
      <c r="Y90" s="426"/>
      <c r="Z90" s="426"/>
      <c r="AA90" s="426"/>
      <c r="AB90" s="426"/>
      <c r="AC90" s="426"/>
      <c r="AD90" s="161">
        <f t="shared" si="0"/>
        <v>0</v>
      </c>
      <c r="AE90" s="602"/>
      <c r="AF90" s="160">
        <f t="shared" si="2"/>
        <v>0</v>
      </c>
      <c r="AG90" s="627"/>
      <c r="AN90" s="77"/>
      <c r="AP90" s="377"/>
      <c r="AQ90" s="377"/>
      <c r="AR90" s="377"/>
      <c r="AS90" s="377"/>
      <c r="AT90" s="377"/>
      <c r="AU90" s="377"/>
      <c r="AV90" s="377"/>
      <c r="AW90" s="377"/>
      <c r="AX90" s="377"/>
      <c r="AY90" s="377"/>
      <c r="AZ90" s="377"/>
      <c r="BA90" s="377"/>
      <c r="BB90" s="377"/>
      <c r="BC90" s="377"/>
      <c r="BD90" s="377"/>
      <c r="BE90" s="377"/>
      <c r="BF90" s="377"/>
      <c r="BG90" s="377"/>
      <c r="BH90" s="377"/>
    </row>
    <row r="91" spans="1:60" s="3" customFormat="1" ht="14.25" x14ac:dyDescent="0.2">
      <c r="A91" s="423"/>
      <c r="B91" s="423"/>
      <c r="C91" s="424"/>
      <c r="D91" s="424"/>
      <c r="E91" s="424"/>
      <c r="F91" s="424"/>
      <c r="G91" s="424"/>
      <c r="H91" s="424"/>
      <c r="I91" s="424"/>
      <c r="J91" s="424"/>
      <c r="K91" s="424"/>
      <c r="L91" s="424"/>
      <c r="M91" s="424"/>
      <c r="N91" s="424"/>
      <c r="O91" s="424"/>
      <c r="P91" s="424"/>
      <c r="Q91" s="424"/>
      <c r="R91" s="424"/>
      <c r="S91" s="424"/>
      <c r="T91" s="424"/>
      <c r="U91" s="424"/>
      <c r="V91" s="424"/>
      <c r="W91" s="424"/>
      <c r="X91" s="424"/>
      <c r="Y91" s="424"/>
      <c r="Z91" s="424"/>
      <c r="AA91" s="424"/>
      <c r="AB91" s="424"/>
      <c r="AC91" s="424"/>
      <c r="AD91" s="123">
        <f t="shared" si="0"/>
        <v>0</v>
      </c>
      <c r="AE91" s="603"/>
      <c r="AF91" s="113">
        <f t="shared" si="2"/>
        <v>0</v>
      </c>
      <c r="AG91" s="465"/>
      <c r="AN91" s="77"/>
      <c r="AP91" s="377"/>
      <c r="AQ91" s="377"/>
      <c r="AR91" s="377"/>
      <c r="AS91" s="377"/>
      <c r="AT91" s="377"/>
      <c r="AU91" s="377"/>
      <c r="AV91" s="377"/>
      <c r="AW91" s="377"/>
      <c r="AX91" s="377"/>
      <c r="AY91" s="377"/>
      <c r="AZ91" s="377"/>
      <c r="BA91" s="377"/>
      <c r="BB91" s="377"/>
      <c r="BC91" s="377"/>
      <c r="BD91" s="377"/>
      <c r="BE91" s="377"/>
      <c r="BF91" s="377"/>
      <c r="BG91" s="377"/>
      <c r="BH91" s="377"/>
    </row>
    <row r="92" spans="1:60" s="3" customFormat="1" ht="14.25" x14ac:dyDescent="0.2">
      <c r="A92" s="425"/>
      <c r="B92" s="425"/>
      <c r="C92" s="426"/>
      <c r="D92" s="426"/>
      <c r="E92" s="426"/>
      <c r="F92" s="426"/>
      <c r="G92" s="426"/>
      <c r="H92" s="426"/>
      <c r="I92" s="426"/>
      <c r="J92" s="426"/>
      <c r="K92" s="426"/>
      <c r="L92" s="426"/>
      <c r="M92" s="426"/>
      <c r="N92" s="426"/>
      <c r="O92" s="426"/>
      <c r="P92" s="426"/>
      <c r="Q92" s="426"/>
      <c r="R92" s="426"/>
      <c r="S92" s="426"/>
      <c r="T92" s="426"/>
      <c r="U92" s="426"/>
      <c r="V92" s="426"/>
      <c r="W92" s="426"/>
      <c r="X92" s="426"/>
      <c r="Y92" s="426"/>
      <c r="Z92" s="426"/>
      <c r="AA92" s="426"/>
      <c r="AB92" s="426"/>
      <c r="AC92" s="426"/>
      <c r="AD92" s="161">
        <f t="shared" si="0"/>
        <v>0</v>
      </c>
      <c r="AE92" s="602"/>
      <c r="AF92" s="160">
        <f t="shared" si="2"/>
        <v>0</v>
      </c>
      <c r="AG92" s="627"/>
      <c r="AN92" s="77"/>
      <c r="AP92" s="377"/>
      <c r="AQ92" s="377"/>
      <c r="AR92" s="377"/>
      <c r="AS92" s="377"/>
      <c r="AT92" s="377"/>
      <c r="AU92" s="377"/>
      <c r="AV92" s="377"/>
      <c r="AW92" s="377"/>
      <c r="AX92" s="377"/>
      <c r="AY92" s="377"/>
      <c r="AZ92" s="377"/>
      <c r="BA92" s="377"/>
      <c r="BB92" s="377"/>
      <c r="BC92" s="377"/>
      <c r="BD92" s="377"/>
      <c r="BE92" s="377"/>
      <c r="BF92" s="377"/>
      <c r="BG92" s="377"/>
      <c r="BH92" s="377"/>
    </row>
    <row r="93" spans="1:60" s="3" customFormat="1" ht="14.25" x14ac:dyDescent="0.2">
      <c r="A93" s="423"/>
      <c r="B93" s="423"/>
      <c r="C93" s="424"/>
      <c r="D93" s="424"/>
      <c r="E93" s="424"/>
      <c r="F93" s="424"/>
      <c r="G93" s="424"/>
      <c r="H93" s="424"/>
      <c r="I93" s="424"/>
      <c r="J93" s="424"/>
      <c r="K93" s="424"/>
      <c r="L93" s="424"/>
      <c r="M93" s="424"/>
      <c r="N93" s="424"/>
      <c r="O93" s="424"/>
      <c r="P93" s="424"/>
      <c r="Q93" s="424"/>
      <c r="R93" s="424"/>
      <c r="S93" s="424"/>
      <c r="T93" s="424"/>
      <c r="U93" s="424"/>
      <c r="V93" s="424"/>
      <c r="W93" s="424"/>
      <c r="X93" s="424"/>
      <c r="Y93" s="424"/>
      <c r="Z93" s="424"/>
      <c r="AA93" s="424"/>
      <c r="AB93" s="424"/>
      <c r="AC93" s="424"/>
      <c r="AD93" s="123">
        <f t="shared" si="0"/>
        <v>0</v>
      </c>
      <c r="AE93" s="603"/>
      <c r="AF93" s="113">
        <f t="shared" si="2"/>
        <v>0</v>
      </c>
      <c r="AG93" s="465"/>
      <c r="AN93" s="77"/>
      <c r="AP93" s="377"/>
      <c r="AQ93" s="377"/>
      <c r="AR93" s="377"/>
      <c r="AS93" s="377"/>
      <c r="AT93" s="377"/>
      <c r="AU93" s="377"/>
      <c r="AV93" s="377"/>
      <c r="AW93" s="377"/>
      <c r="AX93" s="377"/>
      <c r="AY93" s="377"/>
      <c r="AZ93" s="377"/>
      <c r="BA93" s="377"/>
      <c r="BB93" s="377"/>
      <c r="BC93" s="377"/>
      <c r="BD93" s="377"/>
      <c r="BE93" s="377"/>
      <c r="BF93" s="377"/>
      <c r="BG93" s="377"/>
      <c r="BH93" s="377"/>
    </row>
    <row r="94" spans="1:60" s="3" customFormat="1" ht="14.25" x14ac:dyDescent="0.2">
      <c r="A94" s="425"/>
      <c r="B94" s="425"/>
      <c r="C94" s="426"/>
      <c r="D94" s="426"/>
      <c r="E94" s="426"/>
      <c r="F94" s="426"/>
      <c r="G94" s="426"/>
      <c r="H94" s="426"/>
      <c r="I94" s="426"/>
      <c r="J94" s="426"/>
      <c r="K94" s="426"/>
      <c r="L94" s="426"/>
      <c r="M94" s="426"/>
      <c r="N94" s="426"/>
      <c r="O94" s="426"/>
      <c r="P94" s="426"/>
      <c r="Q94" s="426"/>
      <c r="R94" s="426"/>
      <c r="S94" s="426"/>
      <c r="T94" s="426"/>
      <c r="U94" s="426"/>
      <c r="V94" s="426"/>
      <c r="W94" s="426"/>
      <c r="X94" s="426"/>
      <c r="Y94" s="426"/>
      <c r="Z94" s="426"/>
      <c r="AA94" s="426"/>
      <c r="AB94" s="426"/>
      <c r="AC94" s="426"/>
      <c r="AD94" s="161">
        <f t="shared" si="0"/>
        <v>0</v>
      </c>
      <c r="AE94" s="602"/>
      <c r="AF94" s="160">
        <f t="shared" si="2"/>
        <v>0</v>
      </c>
      <c r="AG94" s="627"/>
      <c r="AN94" s="77"/>
      <c r="AP94" s="377"/>
      <c r="AQ94" s="377"/>
      <c r="AR94" s="377"/>
      <c r="AS94" s="377"/>
      <c r="AT94" s="377"/>
      <c r="AU94" s="377"/>
      <c r="AV94" s="377"/>
      <c r="AW94" s="377"/>
      <c r="AX94" s="377"/>
      <c r="AY94" s="377"/>
      <c r="AZ94" s="377"/>
      <c r="BA94" s="377"/>
      <c r="BB94" s="377"/>
      <c r="BC94" s="377"/>
      <c r="BD94" s="377"/>
      <c r="BE94" s="377"/>
      <c r="BF94" s="377"/>
      <c r="BG94" s="377"/>
      <c r="BH94" s="377"/>
    </row>
    <row r="95" spans="1:60" s="3" customFormat="1" ht="14.25" x14ac:dyDescent="0.2">
      <c r="A95" s="423"/>
      <c r="B95" s="423"/>
      <c r="C95" s="424"/>
      <c r="D95" s="424"/>
      <c r="E95" s="424"/>
      <c r="F95" s="424"/>
      <c r="G95" s="424"/>
      <c r="H95" s="424"/>
      <c r="I95" s="424"/>
      <c r="J95" s="424"/>
      <c r="K95" s="424"/>
      <c r="L95" s="424"/>
      <c r="M95" s="424"/>
      <c r="N95" s="424"/>
      <c r="O95" s="424"/>
      <c r="P95" s="424"/>
      <c r="Q95" s="424"/>
      <c r="R95" s="424"/>
      <c r="S95" s="424"/>
      <c r="T95" s="424"/>
      <c r="U95" s="424"/>
      <c r="V95" s="424"/>
      <c r="W95" s="424"/>
      <c r="X95" s="424"/>
      <c r="Y95" s="424"/>
      <c r="Z95" s="424"/>
      <c r="AA95" s="424"/>
      <c r="AB95" s="424"/>
      <c r="AC95" s="424"/>
      <c r="AD95" s="124">
        <f t="shared" ref="AD95:AD158" si="3">SUM(D95:AC95)</f>
        <v>0</v>
      </c>
      <c r="AE95" s="604"/>
      <c r="AF95" s="114">
        <f t="shared" si="2"/>
        <v>0</v>
      </c>
      <c r="AG95" s="628"/>
      <c r="AN95" s="77"/>
      <c r="AP95" s="377"/>
      <c r="AQ95" s="377"/>
      <c r="AR95" s="377"/>
      <c r="AS95" s="377"/>
      <c r="AT95" s="377"/>
      <c r="AU95" s="377"/>
      <c r="AV95" s="377"/>
      <c r="AW95" s="377"/>
      <c r="AX95" s="377"/>
      <c r="AY95" s="377"/>
      <c r="AZ95" s="377"/>
      <c r="BA95" s="377"/>
      <c r="BB95" s="377"/>
      <c r="BC95" s="377"/>
      <c r="BD95" s="377"/>
      <c r="BE95" s="377"/>
      <c r="BF95" s="377"/>
      <c r="BG95" s="377"/>
      <c r="BH95" s="377"/>
    </row>
    <row r="96" spans="1:60" s="3" customFormat="1" ht="14.25" x14ac:dyDescent="0.2">
      <c r="A96" s="425"/>
      <c r="B96" s="425"/>
      <c r="C96" s="426"/>
      <c r="D96" s="426"/>
      <c r="E96" s="426"/>
      <c r="F96" s="426"/>
      <c r="G96" s="426"/>
      <c r="H96" s="426"/>
      <c r="I96" s="426"/>
      <c r="J96" s="426"/>
      <c r="K96" s="426"/>
      <c r="L96" s="426"/>
      <c r="M96" s="426"/>
      <c r="N96" s="426"/>
      <c r="O96" s="426"/>
      <c r="P96" s="426"/>
      <c r="Q96" s="426"/>
      <c r="R96" s="426"/>
      <c r="S96" s="426"/>
      <c r="T96" s="426"/>
      <c r="U96" s="426"/>
      <c r="V96" s="426"/>
      <c r="W96" s="426"/>
      <c r="X96" s="426"/>
      <c r="Y96" s="426"/>
      <c r="Z96" s="426"/>
      <c r="AA96" s="426"/>
      <c r="AB96" s="426"/>
      <c r="AC96" s="426"/>
      <c r="AD96" s="161">
        <f t="shared" si="3"/>
        <v>0</v>
      </c>
      <c r="AE96" s="602"/>
      <c r="AF96" s="160">
        <f t="shared" si="2"/>
        <v>0</v>
      </c>
      <c r="AG96" s="627"/>
      <c r="AN96" s="77"/>
      <c r="AP96" s="377"/>
      <c r="AQ96" s="377"/>
      <c r="AR96" s="377"/>
      <c r="AS96" s="377"/>
      <c r="AT96" s="377"/>
      <c r="AU96" s="377"/>
      <c r="AV96" s="377"/>
      <c r="AW96" s="377"/>
      <c r="AX96" s="377"/>
      <c r="AY96" s="377"/>
      <c r="AZ96" s="377"/>
      <c r="BA96" s="377"/>
      <c r="BB96" s="377"/>
      <c r="BC96" s="377"/>
      <c r="BD96" s="377"/>
      <c r="BE96" s="377"/>
      <c r="BF96" s="377"/>
      <c r="BG96" s="377"/>
      <c r="BH96" s="377"/>
    </row>
    <row r="97" spans="1:60" s="3" customFormat="1" ht="14.25" x14ac:dyDescent="0.2">
      <c r="A97" s="423"/>
      <c r="B97" s="423"/>
      <c r="C97" s="424"/>
      <c r="D97" s="424"/>
      <c r="E97" s="424"/>
      <c r="F97" s="424"/>
      <c r="G97" s="424"/>
      <c r="H97" s="424"/>
      <c r="I97" s="424"/>
      <c r="J97" s="424"/>
      <c r="K97" s="424"/>
      <c r="L97" s="424"/>
      <c r="M97" s="424"/>
      <c r="N97" s="424"/>
      <c r="O97" s="424"/>
      <c r="P97" s="424"/>
      <c r="Q97" s="424"/>
      <c r="R97" s="424"/>
      <c r="S97" s="424"/>
      <c r="T97" s="424"/>
      <c r="U97" s="424"/>
      <c r="V97" s="424"/>
      <c r="W97" s="424"/>
      <c r="X97" s="424"/>
      <c r="Y97" s="424"/>
      <c r="Z97" s="424"/>
      <c r="AA97" s="424"/>
      <c r="AB97" s="424"/>
      <c r="AC97" s="424"/>
      <c r="AD97" s="123">
        <f t="shared" si="3"/>
        <v>0</v>
      </c>
      <c r="AE97" s="603"/>
      <c r="AF97" s="113">
        <f t="shared" si="2"/>
        <v>0</v>
      </c>
      <c r="AG97" s="465"/>
      <c r="AN97" s="77"/>
      <c r="AP97" s="377"/>
      <c r="AQ97" s="377"/>
      <c r="AR97" s="377"/>
      <c r="AS97" s="377"/>
      <c r="AT97" s="377"/>
      <c r="AU97" s="377"/>
      <c r="AV97" s="377"/>
      <c r="AW97" s="377"/>
      <c r="AX97" s="377"/>
      <c r="AY97" s="377"/>
      <c r="AZ97" s="377"/>
      <c r="BA97" s="377"/>
      <c r="BB97" s="377"/>
      <c r="BC97" s="377"/>
      <c r="BD97" s="377"/>
      <c r="BE97" s="377"/>
      <c r="BF97" s="377"/>
      <c r="BG97" s="377"/>
      <c r="BH97" s="377"/>
    </row>
    <row r="98" spans="1:60" s="3" customFormat="1" ht="14.25" x14ac:dyDescent="0.2">
      <c r="A98" s="425"/>
      <c r="B98" s="425"/>
      <c r="C98" s="426"/>
      <c r="D98" s="426"/>
      <c r="E98" s="426"/>
      <c r="F98" s="426"/>
      <c r="G98" s="426"/>
      <c r="H98" s="426"/>
      <c r="I98" s="426"/>
      <c r="J98" s="426"/>
      <c r="K98" s="426"/>
      <c r="L98" s="426"/>
      <c r="M98" s="426"/>
      <c r="N98" s="426"/>
      <c r="O98" s="426"/>
      <c r="P98" s="426"/>
      <c r="Q98" s="426"/>
      <c r="R98" s="426"/>
      <c r="S98" s="426"/>
      <c r="T98" s="426"/>
      <c r="U98" s="426"/>
      <c r="V98" s="426"/>
      <c r="W98" s="426"/>
      <c r="X98" s="426"/>
      <c r="Y98" s="426"/>
      <c r="Z98" s="426"/>
      <c r="AA98" s="426"/>
      <c r="AB98" s="426"/>
      <c r="AC98" s="426"/>
      <c r="AD98" s="161">
        <f t="shared" si="3"/>
        <v>0</v>
      </c>
      <c r="AE98" s="602"/>
      <c r="AF98" s="160">
        <f t="shared" si="2"/>
        <v>0</v>
      </c>
      <c r="AG98" s="627"/>
      <c r="AN98" s="77"/>
      <c r="AP98" s="377"/>
      <c r="AQ98" s="377"/>
      <c r="AR98" s="377"/>
      <c r="AS98" s="377"/>
      <c r="AT98" s="377"/>
      <c r="AU98" s="377"/>
      <c r="AV98" s="377"/>
      <c r="AW98" s="377"/>
      <c r="AX98" s="377"/>
      <c r="AY98" s="377"/>
      <c r="AZ98" s="377"/>
      <c r="BA98" s="377"/>
      <c r="BB98" s="377"/>
      <c r="BC98" s="377"/>
      <c r="BD98" s="377"/>
      <c r="BE98" s="377"/>
      <c r="BF98" s="377"/>
      <c r="BG98" s="377"/>
      <c r="BH98" s="377"/>
    </row>
    <row r="99" spans="1:60" s="3" customFormat="1" ht="14.25" x14ac:dyDescent="0.2">
      <c r="A99" s="423"/>
      <c r="B99" s="423"/>
      <c r="C99" s="424"/>
      <c r="D99" s="424"/>
      <c r="E99" s="424"/>
      <c r="F99" s="424"/>
      <c r="G99" s="424"/>
      <c r="H99" s="424"/>
      <c r="I99" s="424"/>
      <c r="J99" s="424"/>
      <c r="K99" s="424"/>
      <c r="L99" s="424"/>
      <c r="M99" s="424"/>
      <c r="N99" s="424"/>
      <c r="O99" s="424"/>
      <c r="P99" s="424"/>
      <c r="Q99" s="424"/>
      <c r="R99" s="424"/>
      <c r="S99" s="424"/>
      <c r="T99" s="424"/>
      <c r="U99" s="424"/>
      <c r="V99" s="424"/>
      <c r="W99" s="424"/>
      <c r="X99" s="424"/>
      <c r="Y99" s="424"/>
      <c r="Z99" s="424"/>
      <c r="AA99" s="424"/>
      <c r="AB99" s="424"/>
      <c r="AC99" s="424"/>
      <c r="AD99" s="123">
        <f t="shared" si="3"/>
        <v>0</v>
      </c>
      <c r="AE99" s="603"/>
      <c r="AF99" s="113">
        <f t="shared" si="2"/>
        <v>0</v>
      </c>
      <c r="AG99" s="465"/>
      <c r="AN99" s="77"/>
      <c r="AP99" s="377"/>
      <c r="AQ99" s="377"/>
      <c r="AR99" s="377"/>
      <c r="AS99" s="377"/>
      <c r="AT99" s="377"/>
      <c r="AU99" s="377"/>
      <c r="AV99" s="377"/>
      <c r="AW99" s="377"/>
      <c r="AX99" s="377"/>
      <c r="AY99" s="377"/>
      <c r="AZ99" s="377"/>
      <c r="BA99" s="377"/>
      <c r="BB99" s="377"/>
      <c r="BC99" s="377"/>
      <c r="BD99" s="377"/>
      <c r="BE99" s="377"/>
      <c r="BF99" s="377"/>
      <c r="BG99" s="377"/>
      <c r="BH99" s="377"/>
    </row>
    <row r="100" spans="1:60" s="3" customFormat="1" ht="14.25" x14ac:dyDescent="0.2">
      <c r="A100" s="425"/>
      <c r="B100" s="425"/>
      <c r="C100" s="426"/>
      <c r="D100" s="426"/>
      <c r="E100" s="426"/>
      <c r="F100" s="426"/>
      <c r="G100" s="426"/>
      <c r="H100" s="426"/>
      <c r="I100" s="426"/>
      <c r="J100" s="426"/>
      <c r="K100" s="426"/>
      <c r="L100" s="426"/>
      <c r="M100" s="426"/>
      <c r="N100" s="426"/>
      <c r="O100" s="426"/>
      <c r="P100" s="426"/>
      <c r="Q100" s="426"/>
      <c r="R100" s="426"/>
      <c r="S100" s="426"/>
      <c r="T100" s="426"/>
      <c r="U100" s="426"/>
      <c r="V100" s="426"/>
      <c r="W100" s="426"/>
      <c r="X100" s="426"/>
      <c r="Y100" s="426"/>
      <c r="Z100" s="426"/>
      <c r="AA100" s="426"/>
      <c r="AB100" s="426"/>
      <c r="AC100" s="426"/>
      <c r="AD100" s="161">
        <f t="shared" si="3"/>
        <v>0</v>
      </c>
      <c r="AE100" s="602"/>
      <c r="AF100" s="160">
        <f t="shared" si="2"/>
        <v>0</v>
      </c>
      <c r="AG100" s="627"/>
      <c r="AN100" s="77"/>
      <c r="AP100" s="377"/>
      <c r="AQ100" s="377"/>
      <c r="AR100" s="377"/>
      <c r="AS100" s="377"/>
      <c r="AT100" s="377"/>
      <c r="AU100" s="377"/>
      <c r="AV100" s="377"/>
      <c r="AW100" s="377"/>
      <c r="AX100" s="377"/>
      <c r="AY100" s="377"/>
      <c r="AZ100" s="377"/>
      <c r="BA100" s="377"/>
      <c r="BB100" s="377"/>
      <c r="BC100" s="377"/>
      <c r="BD100" s="377"/>
      <c r="BE100" s="377"/>
      <c r="BF100" s="377"/>
      <c r="BG100" s="377"/>
      <c r="BH100" s="377"/>
    </row>
    <row r="101" spans="1:60" s="3" customFormat="1" ht="14.25" x14ac:dyDescent="0.2">
      <c r="A101" s="423"/>
      <c r="B101" s="423"/>
      <c r="C101" s="424"/>
      <c r="D101" s="424"/>
      <c r="E101" s="424"/>
      <c r="F101" s="424"/>
      <c r="G101" s="424"/>
      <c r="H101" s="424"/>
      <c r="I101" s="424"/>
      <c r="J101" s="424"/>
      <c r="K101" s="424"/>
      <c r="L101" s="424"/>
      <c r="M101" s="424"/>
      <c r="N101" s="424"/>
      <c r="O101" s="424"/>
      <c r="P101" s="424"/>
      <c r="Q101" s="424"/>
      <c r="R101" s="424"/>
      <c r="S101" s="424"/>
      <c r="T101" s="424"/>
      <c r="U101" s="424"/>
      <c r="V101" s="424"/>
      <c r="W101" s="424"/>
      <c r="X101" s="424"/>
      <c r="Y101" s="424"/>
      <c r="Z101" s="424"/>
      <c r="AA101" s="424"/>
      <c r="AB101" s="424"/>
      <c r="AC101" s="424"/>
      <c r="AD101" s="123">
        <f t="shared" si="3"/>
        <v>0</v>
      </c>
      <c r="AE101" s="603"/>
      <c r="AF101" s="113">
        <f t="shared" si="2"/>
        <v>0</v>
      </c>
      <c r="AG101" s="465"/>
      <c r="AN101" s="77"/>
      <c r="AP101" s="377"/>
      <c r="AQ101" s="377"/>
      <c r="AR101" s="377"/>
      <c r="AS101" s="377"/>
      <c r="AT101" s="377"/>
      <c r="AU101" s="377"/>
      <c r="AV101" s="377"/>
      <c r="AW101" s="377"/>
      <c r="AX101" s="377"/>
      <c r="AY101" s="377"/>
      <c r="AZ101" s="377"/>
      <c r="BA101" s="377"/>
      <c r="BB101" s="377"/>
      <c r="BC101" s="377"/>
      <c r="BD101" s="377"/>
      <c r="BE101" s="377"/>
      <c r="BF101" s="377"/>
      <c r="BG101" s="377"/>
      <c r="BH101" s="377"/>
    </row>
    <row r="102" spans="1:60" s="3" customFormat="1" ht="14.25" x14ac:dyDescent="0.2">
      <c r="A102" s="425"/>
      <c r="B102" s="425"/>
      <c r="C102" s="426"/>
      <c r="D102" s="426"/>
      <c r="E102" s="426"/>
      <c r="F102" s="426"/>
      <c r="G102" s="426"/>
      <c r="H102" s="426"/>
      <c r="I102" s="426"/>
      <c r="J102" s="426"/>
      <c r="K102" s="426"/>
      <c r="L102" s="426"/>
      <c r="M102" s="426"/>
      <c r="N102" s="426"/>
      <c r="O102" s="426"/>
      <c r="P102" s="426"/>
      <c r="Q102" s="426"/>
      <c r="R102" s="426"/>
      <c r="S102" s="426"/>
      <c r="T102" s="426"/>
      <c r="U102" s="426"/>
      <c r="V102" s="426"/>
      <c r="W102" s="426"/>
      <c r="X102" s="426"/>
      <c r="Y102" s="426"/>
      <c r="Z102" s="426"/>
      <c r="AA102" s="426"/>
      <c r="AB102" s="426"/>
      <c r="AC102" s="426"/>
      <c r="AD102" s="161">
        <f t="shared" si="3"/>
        <v>0</v>
      </c>
      <c r="AE102" s="602"/>
      <c r="AF102" s="160">
        <f t="shared" si="2"/>
        <v>0</v>
      </c>
      <c r="AG102" s="627"/>
      <c r="AN102" s="77"/>
      <c r="AP102" s="377"/>
      <c r="AQ102" s="377"/>
      <c r="AR102" s="377"/>
      <c r="AS102" s="377"/>
      <c r="AT102" s="377"/>
      <c r="AU102" s="377"/>
      <c r="AV102" s="377"/>
      <c r="AW102" s="377"/>
      <c r="AX102" s="377"/>
      <c r="AY102" s="377"/>
      <c r="AZ102" s="377"/>
      <c r="BA102" s="377"/>
      <c r="BB102" s="377"/>
      <c r="BC102" s="377"/>
      <c r="BD102" s="377"/>
      <c r="BE102" s="377"/>
      <c r="BF102" s="377"/>
      <c r="BG102" s="377"/>
      <c r="BH102" s="377"/>
    </row>
    <row r="103" spans="1:60" s="3" customFormat="1" ht="14.25" x14ac:dyDescent="0.2">
      <c r="A103" s="423"/>
      <c r="B103" s="423"/>
      <c r="C103" s="424"/>
      <c r="D103" s="424"/>
      <c r="E103" s="424"/>
      <c r="F103" s="424"/>
      <c r="G103" s="424"/>
      <c r="H103" s="424"/>
      <c r="I103" s="424"/>
      <c r="J103" s="424"/>
      <c r="K103" s="424"/>
      <c r="L103" s="424"/>
      <c r="M103" s="424"/>
      <c r="N103" s="424"/>
      <c r="O103" s="424"/>
      <c r="P103" s="424"/>
      <c r="Q103" s="424"/>
      <c r="R103" s="424"/>
      <c r="S103" s="424"/>
      <c r="T103" s="424"/>
      <c r="U103" s="424"/>
      <c r="V103" s="424"/>
      <c r="W103" s="424"/>
      <c r="X103" s="424"/>
      <c r="Y103" s="424"/>
      <c r="Z103" s="424"/>
      <c r="AA103" s="424"/>
      <c r="AB103" s="424"/>
      <c r="AC103" s="424"/>
      <c r="AD103" s="123">
        <f t="shared" si="3"/>
        <v>0</v>
      </c>
      <c r="AE103" s="603"/>
      <c r="AF103" s="113">
        <f t="shared" si="2"/>
        <v>0</v>
      </c>
      <c r="AG103" s="465"/>
      <c r="AN103" s="77"/>
      <c r="AP103" s="377"/>
      <c r="AQ103" s="377"/>
      <c r="AR103" s="377"/>
      <c r="AS103" s="377"/>
      <c r="AT103" s="377"/>
      <c r="AU103" s="377"/>
      <c r="AV103" s="377"/>
      <c r="AW103" s="377"/>
      <c r="AX103" s="377"/>
      <c r="AY103" s="377"/>
      <c r="AZ103" s="377"/>
      <c r="BA103" s="377"/>
      <c r="BB103" s="377"/>
      <c r="BC103" s="377"/>
      <c r="BD103" s="377"/>
      <c r="BE103" s="377"/>
      <c r="BF103" s="377"/>
      <c r="BG103" s="377"/>
      <c r="BH103" s="377"/>
    </row>
    <row r="104" spans="1:60" s="3" customFormat="1" ht="14.25" x14ac:dyDescent="0.2">
      <c r="A104" s="425"/>
      <c r="B104" s="425"/>
      <c r="C104" s="426"/>
      <c r="D104" s="426"/>
      <c r="E104" s="426"/>
      <c r="F104" s="426"/>
      <c r="G104" s="426"/>
      <c r="H104" s="426"/>
      <c r="I104" s="426"/>
      <c r="J104" s="426"/>
      <c r="K104" s="426"/>
      <c r="L104" s="426"/>
      <c r="M104" s="426"/>
      <c r="N104" s="426"/>
      <c r="O104" s="426"/>
      <c r="P104" s="426"/>
      <c r="Q104" s="426"/>
      <c r="R104" s="426"/>
      <c r="S104" s="426"/>
      <c r="T104" s="426"/>
      <c r="U104" s="426"/>
      <c r="V104" s="426"/>
      <c r="W104" s="426"/>
      <c r="X104" s="426"/>
      <c r="Y104" s="426"/>
      <c r="Z104" s="426"/>
      <c r="AA104" s="426"/>
      <c r="AB104" s="426"/>
      <c r="AC104" s="426"/>
      <c r="AD104" s="161">
        <f t="shared" si="3"/>
        <v>0</v>
      </c>
      <c r="AE104" s="602"/>
      <c r="AF104" s="160">
        <f t="shared" si="2"/>
        <v>0</v>
      </c>
      <c r="AG104" s="627"/>
      <c r="AN104" s="77"/>
      <c r="AP104" s="377"/>
      <c r="AQ104" s="377"/>
      <c r="AR104" s="377"/>
      <c r="AS104" s="377"/>
      <c r="AT104" s="377"/>
      <c r="AU104" s="377"/>
      <c r="AV104" s="377"/>
      <c r="AW104" s="377"/>
      <c r="AX104" s="377"/>
      <c r="AY104" s="377"/>
      <c r="AZ104" s="377"/>
      <c r="BA104" s="377"/>
      <c r="BB104" s="377"/>
      <c r="BC104" s="377"/>
      <c r="BD104" s="377"/>
      <c r="BE104" s="377"/>
      <c r="BF104" s="377"/>
      <c r="BG104" s="377"/>
      <c r="BH104" s="377"/>
    </row>
    <row r="105" spans="1:60" s="3" customFormat="1" ht="14.25" x14ac:dyDescent="0.2">
      <c r="A105" s="423"/>
      <c r="B105" s="423"/>
      <c r="C105" s="424"/>
      <c r="D105" s="424"/>
      <c r="E105" s="424"/>
      <c r="F105" s="424"/>
      <c r="G105" s="424"/>
      <c r="H105" s="424"/>
      <c r="I105" s="424"/>
      <c r="J105" s="424"/>
      <c r="K105" s="424"/>
      <c r="L105" s="424"/>
      <c r="M105" s="424"/>
      <c r="N105" s="424"/>
      <c r="O105" s="424"/>
      <c r="P105" s="424"/>
      <c r="Q105" s="424"/>
      <c r="R105" s="424"/>
      <c r="S105" s="424"/>
      <c r="T105" s="424"/>
      <c r="U105" s="424"/>
      <c r="V105" s="424"/>
      <c r="W105" s="424"/>
      <c r="X105" s="424"/>
      <c r="Y105" s="424"/>
      <c r="Z105" s="424"/>
      <c r="AA105" s="424"/>
      <c r="AB105" s="424"/>
      <c r="AC105" s="424"/>
      <c r="AD105" s="123">
        <f t="shared" si="3"/>
        <v>0</v>
      </c>
      <c r="AE105" s="603"/>
      <c r="AF105" s="113">
        <f t="shared" si="2"/>
        <v>0</v>
      </c>
      <c r="AG105" s="465"/>
      <c r="AN105" s="77"/>
      <c r="AP105" s="377"/>
      <c r="AQ105" s="377"/>
      <c r="AR105" s="377"/>
      <c r="AS105" s="377"/>
      <c r="AT105" s="377"/>
      <c r="AU105" s="377"/>
      <c r="AV105" s="377"/>
      <c r="AW105" s="377"/>
      <c r="AX105" s="377"/>
      <c r="AY105" s="377"/>
      <c r="AZ105" s="377"/>
      <c r="BA105" s="377"/>
      <c r="BB105" s="377"/>
      <c r="BC105" s="377"/>
      <c r="BD105" s="377"/>
      <c r="BE105" s="377"/>
      <c r="BF105" s="377"/>
      <c r="BG105" s="377"/>
      <c r="BH105" s="377"/>
    </row>
    <row r="106" spans="1:60" s="3" customFormat="1" ht="14.25" x14ac:dyDescent="0.2">
      <c r="A106" s="425"/>
      <c r="B106" s="425"/>
      <c r="C106" s="426"/>
      <c r="D106" s="426"/>
      <c r="E106" s="426"/>
      <c r="F106" s="426"/>
      <c r="G106" s="426"/>
      <c r="H106" s="426"/>
      <c r="I106" s="426"/>
      <c r="J106" s="426"/>
      <c r="K106" s="426"/>
      <c r="L106" s="426"/>
      <c r="M106" s="426"/>
      <c r="N106" s="426"/>
      <c r="O106" s="426"/>
      <c r="P106" s="426"/>
      <c r="Q106" s="426"/>
      <c r="R106" s="426"/>
      <c r="S106" s="426"/>
      <c r="T106" s="426"/>
      <c r="U106" s="426"/>
      <c r="V106" s="426"/>
      <c r="W106" s="426"/>
      <c r="X106" s="426"/>
      <c r="Y106" s="426"/>
      <c r="Z106" s="426"/>
      <c r="AA106" s="426"/>
      <c r="AB106" s="426"/>
      <c r="AC106" s="426"/>
      <c r="AD106" s="161">
        <f t="shared" si="3"/>
        <v>0</v>
      </c>
      <c r="AE106" s="602"/>
      <c r="AF106" s="160">
        <f t="shared" si="2"/>
        <v>0</v>
      </c>
      <c r="AG106" s="627"/>
      <c r="AN106" s="77"/>
      <c r="AP106" s="377"/>
      <c r="AQ106" s="377"/>
      <c r="AR106" s="377"/>
      <c r="AS106" s="377"/>
      <c r="AT106" s="377"/>
      <c r="AU106" s="377"/>
      <c r="AV106" s="377"/>
      <c r="AW106" s="377"/>
      <c r="AX106" s="377"/>
      <c r="AY106" s="377"/>
      <c r="AZ106" s="377"/>
      <c r="BA106" s="377"/>
      <c r="BB106" s="377"/>
      <c r="BC106" s="377"/>
      <c r="BD106" s="377"/>
      <c r="BE106" s="377"/>
      <c r="BF106" s="377"/>
      <c r="BG106" s="377"/>
      <c r="BH106" s="377"/>
    </row>
    <row r="107" spans="1:60" s="3" customFormat="1" ht="14.25" x14ac:dyDescent="0.2">
      <c r="A107" s="423"/>
      <c r="B107" s="423"/>
      <c r="C107" s="424"/>
      <c r="D107" s="424"/>
      <c r="E107" s="424"/>
      <c r="F107" s="424"/>
      <c r="G107" s="424"/>
      <c r="H107" s="424"/>
      <c r="I107" s="424"/>
      <c r="J107" s="424"/>
      <c r="K107" s="424"/>
      <c r="L107" s="424"/>
      <c r="M107" s="424"/>
      <c r="N107" s="424"/>
      <c r="O107" s="424"/>
      <c r="P107" s="424"/>
      <c r="Q107" s="424"/>
      <c r="R107" s="424"/>
      <c r="S107" s="424"/>
      <c r="T107" s="424"/>
      <c r="U107" s="424"/>
      <c r="V107" s="424"/>
      <c r="W107" s="424"/>
      <c r="X107" s="424"/>
      <c r="Y107" s="424"/>
      <c r="Z107" s="424"/>
      <c r="AA107" s="424"/>
      <c r="AB107" s="424"/>
      <c r="AC107" s="424"/>
      <c r="AD107" s="123">
        <f t="shared" si="3"/>
        <v>0</v>
      </c>
      <c r="AE107" s="603"/>
      <c r="AF107" s="113">
        <f t="shared" si="2"/>
        <v>0</v>
      </c>
      <c r="AG107" s="465"/>
      <c r="AN107" s="77"/>
      <c r="AP107" s="377"/>
      <c r="AQ107" s="377"/>
      <c r="AR107" s="377"/>
      <c r="AS107" s="377"/>
      <c r="AT107" s="377"/>
      <c r="AU107" s="377"/>
      <c r="AV107" s="377"/>
      <c r="AW107" s="377"/>
      <c r="AX107" s="377"/>
      <c r="AY107" s="377"/>
      <c r="AZ107" s="377"/>
      <c r="BA107" s="377"/>
      <c r="BB107" s="377"/>
      <c r="BC107" s="377"/>
      <c r="BD107" s="377"/>
      <c r="BE107" s="377"/>
      <c r="BF107" s="377"/>
      <c r="BG107" s="377"/>
      <c r="BH107" s="377"/>
    </row>
    <row r="108" spans="1:60" s="3" customFormat="1" ht="14.25" x14ac:dyDescent="0.2">
      <c r="A108" s="425"/>
      <c r="B108" s="425"/>
      <c r="C108" s="426"/>
      <c r="D108" s="426"/>
      <c r="E108" s="426"/>
      <c r="F108" s="426"/>
      <c r="G108" s="426"/>
      <c r="H108" s="426"/>
      <c r="I108" s="426"/>
      <c r="J108" s="426"/>
      <c r="K108" s="426"/>
      <c r="L108" s="426"/>
      <c r="M108" s="426"/>
      <c r="N108" s="426"/>
      <c r="O108" s="426"/>
      <c r="P108" s="426"/>
      <c r="Q108" s="426"/>
      <c r="R108" s="426"/>
      <c r="S108" s="426"/>
      <c r="T108" s="426"/>
      <c r="U108" s="426"/>
      <c r="V108" s="426"/>
      <c r="W108" s="426"/>
      <c r="X108" s="426"/>
      <c r="Y108" s="426"/>
      <c r="Z108" s="426"/>
      <c r="AA108" s="426"/>
      <c r="AB108" s="426"/>
      <c r="AC108" s="426"/>
      <c r="AD108" s="161">
        <f t="shared" si="3"/>
        <v>0</v>
      </c>
      <c r="AE108" s="602"/>
      <c r="AF108" s="160">
        <f t="shared" si="2"/>
        <v>0</v>
      </c>
      <c r="AG108" s="627"/>
      <c r="AN108" s="77"/>
      <c r="AP108" s="377"/>
      <c r="AQ108" s="377"/>
      <c r="AR108" s="377"/>
      <c r="AS108" s="377"/>
      <c r="AT108" s="377"/>
      <c r="AU108" s="377"/>
      <c r="AV108" s="377"/>
      <c r="AW108" s="377"/>
      <c r="AX108" s="377"/>
      <c r="AY108" s="377"/>
      <c r="AZ108" s="377"/>
      <c r="BA108" s="377"/>
      <c r="BB108" s="377"/>
      <c r="BC108" s="377"/>
      <c r="BD108" s="377"/>
      <c r="BE108" s="377"/>
      <c r="BF108" s="377"/>
      <c r="BG108" s="377"/>
      <c r="BH108" s="377"/>
    </row>
    <row r="109" spans="1:60" s="3" customFormat="1" ht="14.25" x14ac:dyDescent="0.2">
      <c r="A109" s="423"/>
      <c r="B109" s="423"/>
      <c r="C109" s="424"/>
      <c r="D109" s="424"/>
      <c r="E109" s="424"/>
      <c r="F109" s="424"/>
      <c r="G109" s="424"/>
      <c r="H109" s="424"/>
      <c r="I109" s="424"/>
      <c r="J109" s="424"/>
      <c r="K109" s="424"/>
      <c r="L109" s="424"/>
      <c r="M109" s="424"/>
      <c r="N109" s="424"/>
      <c r="O109" s="424"/>
      <c r="P109" s="424"/>
      <c r="Q109" s="424"/>
      <c r="R109" s="424"/>
      <c r="S109" s="424"/>
      <c r="T109" s="424"/>
      <c r="U109" s="424"/>
      <c r="V109" s="424"/>
      <c r="W109" s="424"/>
      <c r="X109" s="424"/>
      <c r="Y109" s="424"/>
      <c r="Z109" s="424"/>
      <c r="AA109" s="424"/>
      <c r="AB109" s="424"/>
      <c r="AC109" s="424"/>
      <c r="AD109" s="123">
        <f t="shared" si="3"/>
        <v>0</v>
      </c>
      <c r="AE109" s="603"/>
      <c r="AF109" s="113">
        <f t="shared" si="2"/>
        <v>0</v>
      </c>
      <c r="AG109" s="465"/>
      <c r="AN109" s="77"/>
      <c r="AP109" s="377"/>
      <c r="AQ109" s="377"/>
      <c r="AR109" s="377"/>
      <c r="AS109" s="377"/>
      <c r="AT109" s="377"/>
      <c r="AU109" s="377"/>
      <c r="AV109" s="377"/>
      <c r="AW109" s="377"/>
      <c r="AX109" s="377"/>
      <c r="AY109" s="377"/>
      <c r="AZ109" s="377"/>
      <c r="BA109" s="377"/>
      <c r="BB109" s="377"/>
      <c r="BC109" s="377"/>
      <c r="BD109" s="377"/>
      <c r="BE109" s="377"/>
      <c r="BF109" s="377"/>
      <c r="BG109" s="377"/>
      <c r="BH109" s="377"/>
    </row>
    <row r="110" spans="1:60" s="3" customFormat="1" ht="14.25" x14ac:dyDescent="0.2">
      <c r="A110" s="425"/>
      <c r="B110" s="425"/>
      <c r="C110" s="426"/>
      <c r="D110" s="426"/>
      <c r="E110" s="426"/>
      <c r="F110" s="426"/>
      <c r="G110" s="426"/>
      <c r="H110" s="426"/>
      <c r="I110" s="426"/>
      <c r="J110" s="426"/>
      <c r="K110" s="426"/>
      <c r="L110" s="426"/>
      <c r="M110" s="426"/>
      <c r="N110" s="426"/>
      <c r="O110" s="426"/>
      <c r="P110" s="426"/>
      <c r="Q110" s="426"/>
      <c r="R110" s="426"/>
      <c r="S110" s="426"/>
      <c r="T110" s="426"/>
      <c r="U110" s="426"/>
      <c r="V110" s="426"/>
      <c r="W110" s="426"/>
      <c r="X110" s="426"/>
      <c r="Y110" s="426"/>
      <c r="Z110" s="426"/>
      <c r="AA110" s="426"/>
      <c r="AB110" s="426"/>
      <c r="AC110" s="426"/>
      <c r="AD110" s="161">
        <f t="shared" si="3"/>
        <v>0</v>
      </c>
      <c r="AE110" s="602"/>
      <c r="AF110" s="160">
        <f t="shared" si="2"/>
        <v>0</v>
      </c>
      <c r="AG110" s="627"/>
      <c r="AN110" s="77"/>
      <c r="AP110" s="377"/>
      <c r="AQ110" s="377"/>
      <c r="AR110" s="377"/>
      <c r="AS110" s="377"/>
      <c r="AT110" s="377"/>
      <c r="AU110" s="377"/>
      <c r="AV110" s="377"/>
      <c r="AW110" s="377"/>
      <c r="AX110" s="377"/>
      <c r="AY110" s="377"/>
      <c r="AZ110" s="377"/>
      <c r="BA110" s="377"/>
      <c r="BB110" s="377"/>
      <c r="BC110" s="377"/>
      <c r="BD110" s="377"/>
      <c r="BE110" s="377"/>
      <c r="BF110" s="377"/>
      <c r="BG110" s="377"/>
      <c r="BH110" s="377"/>
    </row>
    <row r="111" spans="1:60" s="3" customFormat="1" ht="14.25" x14ac:dyDescent="0.2">
      <c r="A111" s="423"/>
      <c r="B111" s="423"/>
      <c r="C111" s="424"/>
      <c r="D111" s="424"/>
      <c r="E111" s="424"/>
      <c r="F111" s="424"/>
      <c r="G111" s="424"/>
      <c r="H111" s="424"/>
      <c r="I111" s="424"/>
      <c r="J111" s="424"/>
      <c r="K111" s="424"/>
      <c r="L111" s="424"/>
      <c r="M111" s="424"/>
      <c r="N111" s="424"/>
      <c r="O111" s="424"/>
      <c r="P111" s="424"/>
      <c r="Q111" s="424"/>
      <c r="R111" s="424"/>
      <c r="S111" s="424"/>
      <c r="T111" s="424"/>
      <c r="U111" s="424"/>
      <c r="V111" s="424"/>
      <c r="W111" s="424"/>
      <c r="X111" s="424"/>
      <c r="Y111" s="424"/>
      <c r="Z111" s="424"/>
      <c r="AA111" s="424"/>
      <c r="AB111" s="424"/>
      <c r="AC111" s="424"/>
      <c r="AD111" s="123">
        <f t="shared" si="3"/>
        <v>0</v>
      </c>
      <c r="AE111" s="603"/>
      <c r="AF111" s="113">
        <f t="shared" si="2"/>
        <v>0</v>
      </c>
      <c r="AG111" s="465"/>
      <c r="AN111" s="77"/>
      <c r="AP111" s="377"/>
      <c r="AQ111" s="377"/>
      <c r="AR111" s="377"/>
      <c r="AS111" s="377"/>
      <c r="AT111" s="377"/>
      <c r="AU111" s="377"/>
      <c r="AV111" s="377"/>
      <c r="AW111" s="377"/>
      <c r="AX111" s="377"/>
      <c r="AY111" s="377"/>
      <c r="AZ111" s="377"/>
      <c r="BA111" s="377"/>
      <c r="BB111" s="377"/>
      <c r="BC111" s="377"/>
      <c r="BD111" s="377"/>
      <c r="BE111" s="377"/>
      <c r="BF111" s="377"/>
      <c r="BG111" s="377"/>
      <c r="BH111" s="377"/>
    </row>
    <row r="112" spans="1:60" s="3" customFormat="1" ht="14.25" x14ac:dyDescent="0.2">
      <c r="A112" s="425"/>
      <c r="B112" s="425"/>
      <c r="C112" s="426"/>
      <c r="D112" s="426"/>
      <c r="E112" s="426"/>
      <c r="F112" s="426"/>
      <c r="G112" s="426"/>
      <c r="H112" s="426"/>
      <c r="I112" s="426"/>
      <c r="J112" s="426"/>
      <c r="K112" s="426"/>
      <c r="L112" s="426"/>
      <c r="M112" s="426"/>
      <c r="N112" s="426"/>
      <c r="O112" s="426"/>
      <c r="P112" s="426"/>
      <c r="Q112" s="426"/>
      <c r="R112" s="426"/>
      <c r="S112" s="426"/>
      <c r="T112" s="426"/>
      <c r="U112" s="426"/>
      <c r="V112" s="426"/>
      <c r="W112" s="426"/>
      <c r="X112" s="426"/>
      <c r="Y112" s="426"/>
      <c r="Z112" s="426"/>
      <c r="AA112" s="426"/>
      <c r="AB112" s="426"/>
      <c r="AC112" s="426"/>
      <c r="AD112" s="161">
        <f t="shared" si="3"/>
        <v>0</v>
      </c>
      <c r="AE112" s="602"/>
      <c r="AF112" s="160">
        <f t="shared" si="2"/>
        <v>0</v>
      </c>
      <c r="AG112" s="627"/>
      <c r="AN112" s="77"/>
      <c r="AP112" s="377"/>
      <c r="AQ112" s="377"/>
      <c r="AR112" s="377"/>
      <c r="AS112" s="377"/>
      <c r="AT112" s="377"/>
      <c r="AU112" s="377"/>
      <c r="AV112" s="377"/>
      <c r="AW112" s="377"/>
      <c r="AX112" s="377"/>
      <c r="AY112" s="377"/>
      <c r="AZ112" s="377"/>
      <c r="BA112" s="377"/>
      <c r="BB112" s="377"/>
      <c r="BC112" s="377"/>
      <c r="BD112" s="377"/>
      <c r="BE112" s="377"/>
      <c r="BF112" s="377"/>
      <c r="BG112" s="377"/>
      <c r="BH112" s="377"/>
    </row>
    <row r="113" spans="1:60" s="3" customFormat="1" ht="14.25" x14ac:dyDescent="0.2">
      <c r="A113" s="423"/>
      <c r="B113" s="423"/>
      <c r="C113" s="424"/>
      <c r="D113" s="424"/>
      <c r="E113" s="424"/>
      <c r="F113" s="424"/>
      <c r="G113" s="424"/>
      <c r="H113" s="424"/>
      <c r="I113" s="424"/>
      <c r="J113" s="424"/>
      <c r="K113" s="424"/>
      <c r="L113" s="424"/>
      <c r="M113" s="424"/>
      <c r="N113" s="424"/>
      <c r="O113" s="424"/>
      <c r="P113" s="424"/>
      <c r="Q113" s="424"/>
      <c r="R113" s="424"/>
      <c r="S113" s="424"/>
      <c r="T113" s="424"/>
      <c r="U113" s="424"/>
      <c r="V113" s="424"/>
      <c r="W113" s="424"/>
      <c r="X113" s="424"/>
      <c r="Y113" s="424"/>
      <c r="Z113" s="424"/>
      <c r="AA113" s="424"/>
      <c r="AB113" s="424"/>
      <c r="AC113" s="424"/>
      <c r="AD113" s="123">
        <f t="shared" si="3"/>
        <v>0</v>
      </c>
      <c r="AE113" s="603"/>
      <c r="AF113" s="113">
        <f t="shared" si="2"/>
        <v>0</v>
      </c>
      <c r="AG113" s="465"/>
      <c r="AN113" s="77"/>
      <c r="AP113" s="377"/>
      <c r="AQ113" s="377"/>
      <c r="AR113" s="377"/>
      <c r="AS113" s="377"/>
      <c r="AT113" s="377"/>
      <c r="AU113" s="377"/>
      <c r="AV113" s="377"/>
      <c r="AW113" s="377"/>
      <c r="AX113" s="377"/>
      <c r="AY113" s="377"/>
      <c r="AZ113" s="377"/>
      <c r="BA113" s="377"/>
      <c r="BB113" s="377"/>
      <c r="BC113" s="377"/>
      <c r="BD113" s="377"/>
      <c r="BE113" s="377"/>
      <c r="BF113" s="377"/>
      <c r="BG113" s="377"/>
      <c r="BH113" s="377"/>
    </row>
    <row r="114" spans="1:60" s="3" customFormat="1" ht="14.25" x14ac:dyDescent="0.2">
      <c r="A114" s="425"/>
      <c r="B114" s="425"/>
      <c r="C114" s="426"/>
      <c r="D114" s="426"/>
      <c r="E114" s="426"/>
      <c r="F114" s="426"/>
      <c r="G114" s="426"/>
      <c r="H114" s="426"/>
      <c r="I114" s="426"/>
      <c r="J114" s="426"/>
      <c r="K114" s="426"/>
      <c r="L114" s="426"/>
      <c r="M114" s="426"/>
      <c r="N114" s="426"/>
      <c r="O114" s="426"/>
      <c r="P114" s="426"/>
      <c r="Q114" s="426"/>
      <c r="R114" s="426"/>
      <c r="S114" s="426"/>
      <c r="T114" s="426"/>
      <c r="U114" s="426"/>
      <c r="V114" s="426"/>
      <c r="W114" s="426"/>
      <c r="X114" s="426"/>
      <c r="Y114" s="426"/>
      <c r="Z114" s="426"/>
      <c r="AA114" s="426"/>
      <c r="AB114" s="426"/>
      <c r="AC114" s="426"/>
      <c r="AD114" s="161">
        <f t="shared" si="3"/>
        <v>0</v>
      </c>
      <c r="AE114" s="602"/>
      <c r="AF114" s="160">
        <f t="shared" si="2"/>
        <v>0</v>
      </c>
      <c r="AG114" s="627"/>
      <c r="AN114" s="77"/>
      <c r="AP114" s="377"/>
      <c r="AQ114" s="377"/>
      <c r="AR114" s="377"/>
      <c r="AS114" s="377"/>
      <c r="AT114" s="377"/>
      <c r="AU114" s="377"/>
      <c r="AV114" s="377"/>
      <c r="AW114" s="377"/>
      <c r="AX114" s="377"/>
      <c r="AY114" s="377"/>
      <c r="AZ114" s="377"/>
      <c r="BA114" s="377"/>
      <c r="BB114" s="377"/>
      <c r="BC114" s="377"/>
      <c r="BD114" s="377"/>
      <c r="BE114" s="377"/>
      <c r="BF114" s="377"/>
      <c r="BG114" s="377"/>
      <c r="BH114" s="377"/>
    </row>
    <row r="115" spans="1:60" s="3" customFormat="1" ht="14.25" x14ac:dyDescent="0.2">
      <c r="A115" s="423"/>
      <c r="B115" s="423"/>
      <c r="C115" s="424"/>
      <c r="D115" s="424"/>
      <c r="E115" s="424"/>
      <c r="F115" s="424"/>
      <c r="G115" s="424"/>
      <c r="H115" s="424"/>
      <c r="I115" s="424"/>
      <c r="J115" s="424"/>
      <c r="K115" s="424"/>
      <c r="L115" s="424"/>
      <c r="M115" s="424"/>
      <c r="N115" s="424"/>
      <c r="O115" s="424"/>
      <c r="P115" s="424"/>
      <c r="Q115" s="424"/>
      <c r="R115" s="424"/>
      <c r="S115" s="424"/>
      <c r="T115" s="424"/>
      <c r="U115" s="424"/>
      <c r="V115" s="424"/>
      <c r="W115" s="424"/>
      <c r="X115" s="424"/>
      <c r="Y115" s="424"/>
      <c r="Z115" s="424"/>
      <c r="AA115" s="424"/>
      <c r="AB115" s="424"/>
      <c r="AC115" s="424"/>
      <c r="AD115" s="123">
        <f t="shared" si="3"/>
        <v>0</v>
      </c>
      <c r="AE115" s="603"/>
      <c r="AF115" s="113">
        <f t="shared" si="2"/>
        <v>0</v>
      </c>
      <c r="AG115" s="465"/>
      <c r="AN115" s="77"/>
      <c r="AP115" s="377"/>
      <c r="AQ115" s="377"/>
      <c r="AR115" s="377"/>
      <c r="AS115" s="377"/>
      <c r="AT115" s="377"/>
      <c r="AU115" s="377"/>
      <c r="AV115" s="377"/>
      <c r="AW115" s="377"/>
      <c r="AX115" s="377"/>
      <c r="AY115" s="377"/>
      <c r="AZ115" s="377"/>
      <c r="BA115" s="377"/>
      <c r="BB115" s="377"/>
      <c r="BC115" s="377"/>
      <c r="BD115" s="377"/>
      <c r="BE115" s="377"/>
      <c r="BF115" s="377"/>
      <c r="BG115" s="377"/>
      <c r="BH115" s="377"/>
    </row>
    <row r="116" spans="1:60" s="3" customFormat="1" ht="14.25" x14ac:dyDescent="0.2">
      <c r="A116" s="425"/>
      <c r="B116" s="425"/>
      <c r="C116" s="426"/>
      <c r="D116" s="426"/>
      <c r="E116" s="426"/>
      <c r="F116" s="426"/>
      <c r="G116" s="426"/>
      <c r="H116" s="426"/>
      <c r="I116" s="426"/>
      <c r="J116" s="426"/>
      <c r="K116" s="426"/>
      <c r="L116" s="426"/>
      <c r="M116" s="426"/>
      <c r="N116" s="426"/>
      <c r="O116" s="426"/>
      <c r="P116" s="426"/>
      <c r="Q116" s="426"/>
      <c r="R116" s="426"/>
      <c r="S116" s="426"/>
      <c r="T116" s="426"/>
      <c r="U116" s="426"/>
      <c r="V116" s="426"/>
      <c r="W116" s="426"/>
      <c r="X116" s="426"/>
      <c r="Y116" s="426"/>
      <c r="Z116" s="426"/>
      <c r="AA116" s="426"/>
      <c r="AB116" s="426"/>
      <c r="AC116" s="426"/>
      <c r="AD116" s="161">
        <f t="shared" si="3"/>
        <v>0</v>
      </c>
      <c r="AE116" s="602"/>
      <c r="AF116" s="160">
        <f t="shared" si="2"/>
        <v>0</v>
      </c>
      <c r="AG116" s="627"/>
      <c r="AN116" s="77"/>
      <c r="AP116" s="377"/>
      <c r="AQ116" s="377"/>
      <c r="AR116" s="377"/>
      <c r="AS116" s="377"/>
      <c r="AT116" s="377"/>
      <c r="AU116" s="377"/>
      <c r="AV116" s="377"/>
      <c r="AW116" s="377"/>
      <c r="AX116" s="377"/>
      <c r="AY116" s="377"/>
      <c r="AZ116" s="377"/>
      <c r="BA116" s="377"/>
      <c r="BB116" s="377"/>
      <c r="BC116" s="377"/>
      <c r="BD116" s="377"/>
      <c r="BE116" s="377"/>
      <c r="BF116" s="377"/>
      <c r="BG116" s="377"/>
      <c r="BH116" s="377"/>
    </row>
    <row r="117" spans="1:60" s="3" customFormat="1" ht="14.25" x14ac:dyDescent="0.2">
      <c r="A117" s="423"/>
      <c r="B117" s="423"/>
      <c r="C117" s="424"/>
      <c r="D117" s="424"/>
      <c r="E117" s="424"/>
      <c r="F117" s="424"/>
      <c r="G117" s="424"/>
      <c r="H117" s="424"/>
      <c r="I117" s="424"/>
      <c r="J117" s="424"/>
      <c r="K117" s="424"/>
      <c r="L117" s="424"/>
      <c r="M117" s="424"/>
      <c r="N117" s="424"/>
      <c r="O117" s="424"/>
      <c r="P117" s="424"/>
      <c r="Q117" s="424"/>
      <c r="R117" s="424"/>
      <c r="S117" s="424"/>
      <c r="T117" s="424"/>
      <c r="U117" s="424"/>
      <c r="V117" s="424"/>
      <c r="W117" s="424"/>
      <c r="X117" s="424"/>
      <c r="Y117" s="424"/>
      <c r="Z117" s="424"/>
      <c r="AA117" s="424"/>
      <c r="AB117" s="424"/>
      <c r="AC117" s="424"/>
      <c r="AD117" s="123">
        <f t="shared" si="3"/>
        <v>0</v>
      </c>
      <c r="AE117" s="603"/>
      <c r="AF117" s="113">
        <f t="shared" si="2"/>
        <v>0</v>
      </c>
      <c r="AG117" s="465"/>
      <c r="AN117" s="77"/>
      <c r="AP117" s="377"/>
      <c r="AQ117" s="377"/>
      <c r="AR117" s="377"/>
      <c r="AS117" s="377"/>
      <c r="AT117" s="377"/>
      <c r="AU117" s="377"/>
      <c r="AV117" s="377"/>
      <c r="AW117" s="377"/>
      <c r="AX117" s="377"/>
      <c r="AY117" s="377"/>
      <c r="AZ117" s="377"/>
      <c r="BA117" s="377"/>
      <c r="BB117" s="377"/>
      <c r="BC117" s="377"/>
      <c r="BD117" s="377"/>
      <c r="BE117" s="377"/>
      <c r="BF117" s="377"/>
      <c r="BG117" s="377"/>
      <c r="BH117" s="377"/>
    </row>
    <row r="118" spans="1:60" s="3" customFormat="1" ht="14.25" x14ac:dyDescent="0.2">
      <c r="A118" s="425"/>
      <c r="B118" s="425"/>
      <c r="C118" s="426"/>
      <c r="D118" s="426"/>
      <c r="E118" s="426"/>
      <c r="F118" s="426"/>
      <c r="G118" s="426"/>
      <c r="H118" s="426"/>
      <c r="I118" s="426"/>
      <c r="J118" s="426"/>
      <c r="K118" s="426"/>
      <c r="L118" s="426"/>
      <c r="M118" s="426"/>
      <c r="N118" s="426"/>
      <c r="O118" s="426"/>
      <c r="P118" s="426"/>
      <c r="Q118" s="426"/>
      <c r="R118" s="426"/>
      <c r="S118" s="426"/>
      <c r="T118" s="426"/>
      <c r="U118" s="426"/>
      <c r="V118" s="426"/>
      <c r="W118" s="426"/>
      <c r="X118" s="426"/>
      <c r="Y118" s="426"/>
      <c r="Z118" s="426"/>
      <c r="AA118" s="426"/>
      <c r="AB118" s="426"/>
      <c r="AC118" s="426"/>
      <c r="AD118" s="161">
        <f t="shared" si="3"/>
        <v>0</v>
      </c>
      <c r="AE118" s="602"/>
      <c r="AF118" s="160">
        <f t="shared" si="2"/>
        <v>0</v>
      </c>
      <c r="AG118" s="627"/>
      <c r="AN118" s="77"/>
      <c r="AP118" s="377"/>
      <c r="AQ118" s="377"/>
      <c r="AR118" s="377"/>
      <c r="AS118" s="377"/>
      <c r="AT118" s="377"/>
      <c r="AU118" s="377"/>
      <c r="AV118" s="377"/>
      <c r="AW118" s="377"/>
      <c r="AX118" s="377"/>
      <c r="AY118" s="377"/>
      <c r="AZ118" s="377"/>
      <c r="BA118" s="377"/>
      <c r="BB118" s="377"/>
      <c r="BC118" s="377"/>
      <c r="BD118" s="377"/>
      <c r="BE118" s="377"/>
      <c r="BF118" s="377"/>
      <c r="BG118" s="377"/>
      <c r="BH118" s="377"/>
    </row>
    <row r="119" spans="1:60" s="3" customFormat="1" ht="14.25" x14ac:dyDescent="0.2">
      <c r="A119" s="423"/>
      <c r="B119" s="423"/>
      <c r="C119" s="424"/>
      <c r="D119" s="424"/>
      <c r="E119" s="424"/>
      <c r="F119" s="424"/>
      <c r="G119" s="424"/>
      <c r="H119" s="424"/>
      <c r="I119" s="424"/>
      <c r="J119" s="424"/>
      <c r="K119" s="424"/>
      <c r="L119" s="424"/>
      <c r="M119" s="424"/>
      <c r="N119" s="424"/>
      <c r="O119" s="424"/>
      <c r="P119" s="424"/>
      <c r="Q119" s="424"/>
      <c r="R119" s="424"/>
      <c r="S119" s="424"/>
      <c r="T119" s="424"/>
      <c r="U119" s="424"/>
      <c r="V119" s="424"/>
      <c r="W119" s="424"/>
      <c r="X119" s="424"/>
      <c r="Y119" s="424"/>
      <c r="Z119" s="424"/>
      <c r="AA119" s="424"/>
      <c r="AB119" s="424"/>
      <c r="AC119" s="424"/>
      <c r="AD119" s="123">
        <f t="shared" si="3"/>
        <v>0</v>
      </c>
      <c r="AE119" s="603"/>
      <c r="AF119" s="113">
        <f t="shared" si="2"/>
        <v>0</v>
      </c>
      <c r="AG119" s="465"/>
      <c r="AN119" s="77"/>
      <c r="AP119" s="377"/>
      <c r="AQ119" s="377"/>
      <c r="AR119" s="377"/>
      <c r="AS119" s="377"/>
      <c r="AT119" s="377"/>
      <c r="AU119" s="377"/>
      <c r="AV119" s="377"/>
      <c r="AW119" s="377"/>
      <c r="AX119" s="377"/>
      <c r="AY119" s="377"/>
      <c r="AZ119" s="377"/>
      <c r="BA119" s="377"/>
      <c r="BB119" s="377"/>
      <c r="BC119" s="377"/>
      <c r="BD119" s="377"/>
      <c r="BE119" s="377"/>
      <c r="BF119" s="377"/>
      <c r="BG119" s="377"/>
      <c r="BH119" s="377"/>
    </row>
    <row r="120" spans="1:60" s="3" customFormat="1" ht="14.25" x14ac:dyDescent="0.2">
      <c r="A120" s="425"/>
      <c r="B120" s="425"/>
      <c r="C120" s="426"/>
      <c r="D120" s="426"/>
      <c r="E120" s="426"/>
      <c r="F120" s="426"/>
      <c r="G120" s="426"/>
      <c r="H120" s="426"/>
      <c r="I120" s="426"/>
      <c r="J120" s="426"/>
      <c r="K120" s="426"/>
      <c r="L120" s="426"/>
      <c r="M120" s="426"/>
      <c r="N120" s="426"/>
      <c r="O120" s="426"/>
      <c r="P120" s="426"/>
      <c r="Q120" s="426"/>
      <c r="R120" s="426"/>
      <c r="S120" s="426"/>
      <c r="T120" s="426"/>
      <c r="U120" s="426"/>
      <c r="V120" s="426"/>
      <c r="W120" s="426"/>
      <c r="X120" s="426"/>
      <c r="Y120" s="426"/>
      <c r="Z120" s="426"/>
      <c r="AA120" s="426"/>
      <c r="AB120" s="426"/>
      <c r="AC120" s="426"/>
      <c r="AD120" s="161">
        <f t="shared" si="3"/>
        <v>0</v>
      </c>
      <c r="AE120" s="602"/>
      <c r="AF120" s="160">
        <f t="shared" si="2"/>
        <v>0</v>
      </c>
      <c r="AG120" s="627"/>
      <c r="AN120" s="77"/>
      <c r="AP120" s="377"/>
      <c r="AQ120" s="377"/>
      <c r="AR120" s="377"/>
      <c r="AS120" s="377"/>
      <c r="AT120" s="377"/>
      <c r="AU120" s="377"/>
      <c r="AV120" s="377"/>
      <c r="AW120" s="377"/>
      <c r="AX120" s="377"/>
      <c r="AY120" s="377"/>
      <c r="AZ120" s="377"/>
      <c r="BA120" s="377"/>
      <c r="BB120" s="377"/>
      <c r="BC120" s="377"/>
      <c r="BD120" s="377"/>
      <c r="BE120" s="377"/>
      <c r="BF120" s="377"/>
      <c r="BG120" s="377"/>
      <c r="BH120" s="377"/>
    </row>
    <row r="121" spans="1:60" s="3" customFormat="1" ht="14.25" x14ac:dyDescent="0.2">
      <c r="A121" s="423"/>
      <c r="B121" s="423"/>
      <c r="C121" s="424"/>
      <c r="D121" s="424"/>
      <c r="E121" s="424"/>
      <c r="F121" s="424"/>
      <c r="G121" s="424"/>
      <c r="H121" s="424"/>
      <c r="I121" s="424"/>
      <c r="J121" s="424"/>
      <c r="K121" s="424"/>
      <c r="L121" s="424"/>
      <c r="M121" s="424"/>
      <c r="N121" s="424"/>
      <c r="O121" s="424"/>
      <c r="P121" s="424"/>
      <c r="Q121" s="424"/>
      <c r="R121" s="424"/>
      <c r="S121" s="424"/>
      <c r="T121" s="424"/>
      <c r="U121" s="424"/>
      <c r="V121" s="424"/>
      <c r="W121" s="424"/>
      <c r="X121" s="424"/>
      <c r="Y121" s="424"/>
      <c r="Z121" s="424"/>
      <c r="AA121" s="424"/>
      <c r="AB121" s="424"/>
      <c r="AC121" s="424"/>
      <c r="AD121" s="123">
        <f t="shared" si="3"/>
        <v>0</v>
      </c>
      <c r="AE121" s="603"/>
      <c r="AF121" s="113">
        <f t="shared" si="2"/>
        <v>0</v>
      </c>
      <c r="AG121" s="465"/>
      <c r="AN121" s="77"/>
      <c r="AP121" s="377"/>
      <c r="AQ121" s="377"/>
      <c r="AR121" s="377"/>
      <c r="AS121" s="377"/>
      <c r="AT121" s="377"/>
      <c r="AU121" s="377"/>
      <c r="AV121" s="377"/>
      <c r="AW121" s="377"/>
      <c r="AX121" s="377"/>
      <c r="AY121" s="377"/>
      <c r="AZ121" s="377"/>
      <c r="BA121" s="377"/>
      <c r="BB121" s="377"/>
      <c r="BC121" s="377"/>
      <c r="BD121" s="377"/>
      <c r="BE121" s="377"/>
      <c r="BF121" s="377"/>
      <c r="BG121" s="377"/>
      <c r="BH121" s="377"/>
    </row>
    <row r="122" spans="1:60" s="3" customFormat="1" ht="14.25" x14ac:dyDescent="0.2">
      <c r="A122" s="425"/>
      <c r="B122" s="425"/>
      <c r="C122" s="426"/>
      <c r="D122" s="426"/>
      <c r="E122" s="426"/>
      <c r="F122" s="426"/>
      <c r="G122" s="426"/>
      <c r="H122" s="426"/>
      <c r="I122" s="426"/>
      <c r="J122" s="426"/>
      <c r="K122" s="426"/>
      <c r="L122" s="426"/>
      <c r="M122" s="426"/>
      <c r="N122" s="426"/>
      <c r="O122" s="426"/>
      <c r="P122" s="426"/>
      <c r="Q122" s="426"/>
      <c r="R122" s="426"/>
      <c r="S122" s="426"/>
      <c r="T122" s="426"/>
      <c r="U122" s="426"/>
      <c r="V122" s="426"/>
      <c r="W122" s="426"/>
      <c r="X122" s="426"/>
      <c r="Y122" s="426"/>
      <c r="Z122" s="426"/>
      <c r="AA122" s="426"/>
      <c r="AB122" s="426"/>
      <c r="AC122" s="426"/>
      <c r="AD122" s="161">
        <f t="shared" si="3"/>
        <v>0</v>
      </c>
      <c r="AE122" s="602"/>
      <c r="AF122" s="160">
        <f t="shared" si="2"/>
        <v>0</v>
      </c>
      <c r="AG122" s="627"/>
      <c r="AN122" s="77"/>
      <c r="AP122" s="377"/>
      <c r="AQ122" s="377"/>
      <c r="AR122" s="377"/>
      <c r="AS122" s="377"/>
      <c r="AT122" s="377"/>
      <c r="AU122" s="377"/>
      <c r="AV122" s="377"/>
      <c r="AW122" s="377"/>
      <c r="AX122" s="377"/>
      <c r="AY122" s="377"/>
      <c r="AZ122" s="377"/>
      <c r="BA122" s="377"/>
      <c r="BB122" s="377"/>
      <c r="BC122" s="377"/>
      <c r="BD122" s="377"/>
      <c r="BE122" s="377"/>
      <c r="BF122" s="377"/>
      <c r="BG122" s="377"/>
      <c r="BH122" s="377"/>
    </row>
    <row r="123" spans="1:60" s="3" customFormat="1" ht="14.25" x14ac:dyDescent="0.2">
      <c r="A123" s="423"/>
      <c r="B123" s="423"/>
      <c r="C123" s="424"/>
      <c r="D123" s="424"/>
      <c r="E123" s="424"/>
      <c r="F123" s="424"/>
      <c r="G123" s="424"/>
      <c r="H123" s="424"/>
      <c r="I123" s="424"/>
      <c r="J123" s="424"/>
      <c r="K123" s="424"/>
      <c r="L123" s="424"/>
      <c r="M123" s="424"/>
      <c r="N123" s="424"/>
      <c r="O123" s="424"/>
      <c r="P123" s="424"/>
      <c r="Q123" s="424"/>
      <c r="R123" s="424"/>
      <c r="S123" s="424"/>
      <c r="T123" s="424"/>
      <c r="U123" s="424"/>
      <c r="V123" s="424"/>
      <c r="W123" s="424"/>
      <c r="X123" s="424"/>
      <c r="Y123" s="424"/>
      <c r="Z123" s="424"/>
      <c r="AA123" s="424"/>
      <c r="AB123" s="424"/>
      <c r="AC123" s="424"/>
      <c r="AD123" s="123">
        <f t="shared" si="3"/>
        <v>0</v>
      </c>
      <c r="AE123" s="603"/>
      <c r="AF123" s="113">
        <f t="shared" si="2"/>
        <v>0</v>
      </c>
      <c r="AG123" s="465"/>
      <c r="AN123" s="77"/>
      <c r="AP123" s="377"/>
      <c r="AQ123" s="377"/>
      <c r="AR123" s="377"/>
      <c r="AS123" s="377"/>
      <c r="AT123" s="377"/>
      <c r="AU123" s="377"/>
      <c r="AV123" s="377"/>
      <c r="AW123" s="377"/>
      <c r="AX123" s="377"/>
      <c r="AY123" s="377"/>
      <c r="AZ123" s="377"/>
      <c r="BA123" s="377"/>
      <c r="BB123" s="377"/>
      <c r="BC123" s="377"/>
      <c r="BD123" s="377"/>
      <c r="BE123" s="377"/>
      <c r="BF123" s="377"/>
      <c r="BG123" s="377"/>
      <c r="BH123" s="377"/>
    </row>
    <row r="124" spans="1:60" s="3" customFormat="1" ht="14.25" x14ac:dyDescent="0.2">
      <c r="A124" s="425"/>
      <c r="B124" s="425"/>
      <c r="C124" s="426"/>
      <c r="D124" s="426"/>
      <c r="E124" s="426"/>
      <c r="F124" s="426"/>
      <c r="G124" s="426"/>
      <c r="H124" s="426"/>
      <c r="I124" s="426"/>
      <c r="J124" s="426"/>
      <c r="K124" s="426"/>
      <c r="L124" s="426"/>
      <c r="M124" s="426"/>
      <c r="N124" s="426"/>
      <c r="O124" s="426"/>
      <c r="P124" s="426"/>
      <c r="Q124" s="426"/>
      <c r="R124" s="426"/>
      <c r="S124" s="426"/>
      <c r="T124" s="426"/>
      <c r="U124" s="426"/>
      <c r="V124" s="426"/>
      <c r="W124" s="426"/>
      <c r="X124" s="426"/>
      <c r="Y124" s="426"/>
      <c r="Z124" s="426"/>
      <c r="AA124" s="426"/>
      <c r="AB124" s="426"/>
      <c r="AC124" s="426"/>
      <c r="AD124" s="161">
        <f t="shared" si="3"/>
        <v>0</v>
      </c>
      <c r="AE124" s="602"/>
      <c r="AF124" s="160">
        <f t="shared" si="2"/>
        <v>0</v>
      </c>
      <c r="AG124" s="627"/>
      <c r="AN124" s="77"/>
      <c r="AP124" s="377"/>
      <c r="AQ124" s="377"/>
      <c r="AR124" s="377"/>
      <c r="AS124" s="377"/>
      <c r="AT124" s="377"/>
      <c r="AU124" s="377"/>
      <c r="AV124" s="377"/>
      <c r="AW124" s="377"/>
      <c r="AX124" s="377"/>
      <c r="AY124" s="377"/>
      <c r="AZ124" s="377"/>
      <c r="BA124" s="377"/>
      <c r="BB124" s="377"/>
      <c r="BC124" s="377"/>
      <c r="BD124" s="377"/>
      <c r="BE124" s="377"/>
      <c r="BF124" s="377"/>
      <c r="BG124" s="377"/>
      <c r="BH124" s="377"/>
    </row>
    <row r="125" spans="1:60" s="3" customFormat="1" ht="14.25" x14ac:dyDescent="0.2">
      <c r="A125" s="423"/>
      <c r="B125" s="423"/>
      <c r="C125" s="424"/>
      <c r="D125" s="424"/>
      <c r="E125" s="424"/>
      <c r="F125" s="424"/>
      <c r="G125" s="424"/>
      <c r="H125" s="424"/>
      <c r="I125" s="424"/>
      <c r="J125" s="424"/>
      <c r="K125" s="424"/>
      <c r="L125" s="424"/>
      <c r="M125" s="424"/>
      <c r="N125" s="424"/>
      <c r="O125" s="424"/>
      <c r="P125" s="424"/>
      <c r="Q125" s="424"/>
      <c r="R125" s="424"/>
      <c r="S125" s="424"/>
      <c r="T125" s="424"/>
      <c r="U125" s="424"/>
      <c r="V125" s="424"/>
      <c r="W125" s="424"/>
      <c r="X125" s="424"/>
      <c r="Y125" s="424"/>
      <c r="Z125" s="424"/>
      <c r="AA125" s="424"/>
      <c r="AB125" s="424"/>
      <c r="AC125" s="424"/>
      <c r="AD125" s="123">
        <f t="shared" si="3"/>
        <v>0</v>
      </c>
      <c r="AE125" s="603"/>
      <c r="AF125" s="113">
        <f t="shared" si="2"/>
        <v>0</v>
      </c>
      <c r="AG125" s="465"/>
      <c r="AN125" s="77"/>
      <c r="AP125" s="377"/>
      <c r="AQ125" s="377"/>
      <c r="AR125" s="377"/>
      <c r="AS125" s="377"/>
      <c r="AT125" s="377"/>
      <c r="AU125" s="377"/>
      <c r="AV125" s="377"/>
      <c r="AW125" s="377"/>
      <c r="AX125" s="377"/>
      <c r="AY125" s="377"/>
      <c r="AZ125" s="377"/>
      <c r="BA125" s="377"/>
      <c r="BB125" s="377"/>
      <c r="BC125" s="377"/>
      <c r="BD125" s="377"/>
      <c r="BE125" s="377"/>
      <c r="BF125" s="377"/>
      <c r="BG125" s="377"/>
      <c r="BH125" s="377"/>
    </row>
    <row r="126" spans="1:60" s="3" customFormat="1" ht="14.25" x14ac:dyDescent="0.2">
      <c r="A126" s="425"/>
      <c r="B126" s="425"/>
      <c r="C126" s="426"/>
      <c r="D126" s="426"/>
      <c r="E126" s="426"/>
      <c r="F126" s="426"/>
      <c r="G126" s="426"/>
      <c r="H126" s="426"/>
      <c r="I126" s="426"/>
      <c r="J126" s="426"/>
      <c r="K126" s="426"/>
      <c r="L126" s="426"/>
      <c r="M126" s="426"/>
      <c r="N126" s="426"/>
      <c r="O126" s="426"/>
      <c r="P126" s="426"/>
      <c r="Q126" s="426"/>
      <c r="R126" s="426"/>
      <c r="S126" s="426"/>
      <c r="T126" s="426"/>
      <c r="U126" s="426"/>
      <c r="V126" s="426"/>
      <c r="W126" s="426"/>
      <c r="X126" s="426"/>
      <c r="Y126" s="426"/>
      <c r="Z126" s="426"/>
      <c r="AA126" s="426"/>
      <c r="AB126" s="426"/>
      <c r="AC126" s="426"/>
      <c r="AD126" s="161">
        <f t="shared" si="3"/>
        <v>0</v>
      </c>
      <c r="AE126" s="602"/>
      <c r="AF126" s="160">
        <f t="shared" si="2"/>
        <v>0</v>
      </c>
      <c r="AG126" s="627"/>
      <c r="AN126" s="77"/>
      <c r="AP126" s="377"/>
      <c r="AQ126" s="377"/>
      <c r="AR126" s="377"/>
      <c r="AS126" s="377"/>
      <c r="AT126" s="377"/>
      <c r="AU126" s="377"/>
      <c r="AV126" s="377"/>
      <c r="AW126" s="377"/>
      <c r="AX126" s="377"/>
      <c r="AY126" s="377"/>
      <c r="AZ126" s="377"/>
      <c r="BA126" s="377"/>
      <c r="BB126" s="377"/>
      <c r="BC126" s="377"/>
      <c r="BD126" s="377"/>
      <c r="BE126" s="377"/>
      <c r="BF126" s="377"/>
      <c r="BG126" s="377"/>
      <c r="BH126" s="377"/>
    </row>
    <row r="127" spans="1:60" s="3" customFormat="1" ht="14.25" x14ac:dyDescent="0.2">
      <c r="A127" s="423"/>
      <c r="B127" s="423"/>
      <c r="C127" s="424"/>
      <c r="D127" s="424"/>
      <c r="E127" s="424"/>
      <c r="F127" s="424"/>
      <c r="G127" s="424"/>
      <c r="H127" s="424"/>
      <c r="I127" s="424"/>
      <c r="J127" s="424"/>
      <c r="K127" s="424"/>
      <c r="L127" s="424"/>
      <c r="M127" s="424"/>
      <c r="N127" s="424"/>
      <c r="O127" s="424"/>
      <c r="P127" s="424"/>
      <c r="Q127" s="424"/>
      <c r="R127" s="424"/>
      <c r="S127" s="424"/>
      <c r="T127" s="424"/>
      <c r="U127" s="424"/>
      <c r="V127" s="424"/>
      <c r="W127" s="424"/>
      <c r="X127" s="424"/>
      <c r="Y127" s="424"/>
      <c r="Z127" s="424"/>
      <c r="AA127" s="424"/>
      <c r="AB127" s="424"/>
      <c r="AC127" s="424"/>
      <c r="AD127" s="123">
        <f t="shared" si="3"/>
        <v>0</v>
      </c>
      <c r="AE127" s="603"/>
      <c r="AF127" s="113">
        <f t="shared" si="2"/>
        <v>0</v>
      </c>
      <c r="AG127" s="465"/>
      <c r="AN127" s="77"/>
      <c r="AP127" s="377"/>
      <c r="AQ127" s="377"/>
      <c r="AR127" s="377"/>
      <c r="AS127" s="377"/>
      <c r="AT127" s="377"/>
      <c r="AU127" s="377"/>
      <c r="AV127" s="377"/>
      <c r="AW127" s="377"/>
      <c r="AX127" s="377"/>
      <c r="AY127" s="377"/>
      <c r="AZ127" s="377"/>
      <c r="BA127" s="377"/>
      <c r="BB127" s="377"/>
      <c r="BC127" s="377"/>
      <c r="BD127" s="377"/>
      <c r="BE127" s="377"/>
      <c r="BF127" s="377"/>
      <c r="BG127" s="377"/>
      <c r="BH127" s="377"/>
    </row>
    <row r="128" spans="1:60" s="3" customFormat="1" ht="14.25" x14ac:dyDescent="0.2">
      <c r="A128" s="425"/>
      <c r="B128" s="425"/>
      <c r="C128" s="426"/>
      <c r="D128" s="426"/>
      <c r="E128" s="426"/>
      <c r="F128" s="426"/>
      <c r="G128" s="426"/>
      <c r="H128" s="426"/>
      <c r="I128" s="426"/>
      <c r="J128" s="426"/>
      <c r="K128" s="426"/>
      <c r="L128" s="426"/>
      <c r="M128" s="426"/>
      <c r="N128" s="426"/>
      <c r="O128" s="426"/>
      <c r="P128" s="426"/>
      <c r="Q128" s="426"/>
      <c r="R128" s="426"/>
      <c r="S128" s="426"/>
      <c r="T128" s="426"/>
      <c r="U128" s="426"/>
      <c r="V128" s="426"/>
      <c r="W128" s="426"/>
      <c r="X128" s="426"/>
      <c r="Y128" s="426"/>
      <c r="Z128" s="426"/>
      <c r="AA128" s="426"/>
      <c r="AB128" s="426"/>
      <c r="AC128" s="426"/>
      <c r="AD128" s="161">
        <f t="shared" si="3"/>
        <v>0</v>
      </c>
      <c r="AE128" s="602"/>
      <c r="AF128" s="160">
        <f t="shared" si="2"/>
        <v>0</v>
      </c>
      <c r="AG128" s="627"/>
      <c r="AN128" s="77"/>
      <c r="AP128" s="377"/>
      <c r="AQ128" s="377"/>
      <c r="AR128" s="377"/>
      <c r="AS128" s="377"/>
      <c r="AT128" s="377"/>
      <c r="AU128" s="377"/>
      <c r="AV128" s="377"/>
      <c r="AW128" s="377"/>
      <c r="AX128" s="377"/>
      <c r="AY128" s="377"/>
      <c r="AZ128" s="377"/>
      <c r="BA128" s="377"/>
      <c r="BB128" s="377"/>
      <c r="BC128" s="377"/>
      <c r="BD128" s="377"/>
      <c r="BE128" s="377"/>
      <c r="BF128" s="377"/>
      <c r="BG128" s="377"/>
      <c r="BH128" s="377"/>
    </row>
    <row r="129" spans="1:60" s="3" customFormat="1" ht="14.25" x14ac:dyDescent="0.2">
      <c r="A129" s="423"/>
      <c r="B129" s="423"/>
      <c r="C129" s="424"/>
      <c r="D129" s="424"/>
      <c r="E129" s="424"/>
      <c r="F129" s="424"/>
      <c r="G129" s="424"/>
      <c r="H129" s="424"/>
      <c r="I129" s="424"/>
      <c r="J129" s="424"/>
      <c r="K129" s="424"/>
      <c r="L129" s="424"/>
      <c r="M129" s="424"/>
      <c r="N129" s="424"/>
      <c r="O129" s="424"/>
      <c r="P129" s="424"/>
      <c r="Q129" s="424"/>
      <c r="R129" s="424"/>
      <c r="S129" s="424"/>
      <c r="T129" s="424"/>
      <c r="U129" s="424"/>
      <c r="V129" s="424"/>
      <c r="W129" s="424"/>
      <c r="X129" s="424"/>
      <c r="Y129" s="424"/>
      <c r="Z129" s="424"/>
      <c r="AA129" s="424"/>
      <c r="AB129" s="424"/>
      <c r="AC129" s="424"/>
      <c r="AD129" s="123">
        <f t="shared" si="3"/>
        <v>0</v>
      </c>
      <c r="AE129" s="603"/>
      <c r="AF129" s="113">
        <f t="shared" si="2"/>
        <v>0</v>
      </c>
      <c r="AG129" s="465"/>
      <c r="AN129" s="77"/>
      <c r="AP129" s="377"/>
      <c r="AQ129" s="377"/>
      <c r="AR129" s="377"/>
      <c r="AS129" s="377"/>
      <c r="AT129" s="377"/>
      <c r="AU129" s="377"/>
      <c r="AV129" s="377"/>
      <c r="AW129" s="377"/>
      <c r="AX129" s="377"/>
      <c r="AY129" s="377"/>
      <c r="AZ129" s="377"/>
      <c r="BA129" s="377"/>
      <c r="BB129" s="377"/>
      <c r="BC129" s="377"/>
      <c r="BD129" s="377"/>
      <c r="BE129" s="377"/>
      <c r="BF129" s="377"/>
      <c r="BG129" s="377"/>
      <c r="BH129" s="377"/>
    </row>
    <row r="130" spans="1:60" s="3" customFormat="1" ht="14.25" x14ac:dyDescent="0.2">
      <c r="A130" s="425"/>
      <c r="B130" s="425"/>
      <c r="C130" s="426"/>
      <c r="D130" s="426"/>
      <c r="E130" s="426"/>
      <c r="F130" s="426"/>
      <c r="G130" s="426"/>
      <c r="H130" s="426"/>
      <c r="I130" s="426"/>
      <c r="J130" s="426"/>
      <c r="K130" s="426"/>
      <c r="L130" s="426"/>
      <c r="M130" s="426"/>
      <c r="N130" s="426"/>
      <c r="O130" s="426"/>
      <c r="P130" s="426"/>
      <c r="Q130" s="426"/>
      <c r="R130" s="426"/>
      <c r="S130" s="426"/>
      <c r="T130" s="426"/>
      <c r="U130" s="426"/>
      <c r="V130" s="426"/>
      <c r="W130" s="426"/>
      <c r="X130" s="426"/>
      <c r="Y130" s="426"/>
      <c r="Z130" s="426"/>
      <c r="AA130" s="426"/>
      <c r="AB130" s="426"/>
      <c r="AC130" s="426"/>
      <c r="AD130" s="161">
        <f t="shared" si="3"/>
        <v>0</v>
      </c>
      <c r="AE130" s="602"/>
      <c r="AF130" s="160">
        <f t="shared" si="2"/>
        <v>0</v>
      </c>
      <c r="AG130" s="627"/>
      <c r="AN130" s="77"/>
      <c r="AP130" s="377"/>
      <c r="AQ130" s="377"/>
      <c r="AR130" s="377"/>
      <c r="AS130" s="377"/>
      <c r="AT130" s="377"/>
      <c r="AU130" s="377"/>
      <c r="AV130" s="377"/>
      <c r="AW130" s="377"/>
      <c r="AX130" s="377"/>
      <c r="AY130" s="377"/>
      <c r="AZ130" s="377"/>
      <c r="BA130" s="377"/>
      <c r="BB130" s="377"/>
      <c r="BC130" s="377"/>
      <c r="BD130" s="377"/>
      <c r="BE130" s="377"/>
      <c r="BF130" s="377"/>
      <c r="BG130" s="377"/>
      <c r="BH130" s="377"/>
    </row>
    <row r="131" spans="1:60" s="3" customFormat="1" ht="14.25" x14ac:dyDescent="0.2">
      <c r="A131" s="423"/>
      <c r="B131" s="423"/>
      <c r="C131" s="424"/>
      <c r="D131" s="424"/>
      <c r="E131" s="424"/>
      <c r="F131" s="424"/>
      <c r="G131" s="424"/>
      <c r="H131" s="424"/>
      <c r="I131" s="424"/>
      <c r="J131" s="424"/>
      <c r="K131" s="424"/>
      <c r="L131" s="424"/>
      <c r="M131" s="424"/>
      <c r="N131" s="424"/>
      <c r="O131" s="424"/>
      <c r="P131" s="424"/>
      <c r="Q131" s="424"/>
      <c r="R131" s="424"/>
      <c r="S131" s="424"/>
      <c r="T131" s="424"/>
      <c r="U131" s="424"/>
      <c r="V131" s="424"/>
      <c r="W131" s="424"/>
      <c r="X131" s="424"/>
      <c r="Y131" s="424"/>
      <c r="Z131" s="424"/>
      <c r="AA131" s="424"/>
      <c r="AB131" s="424"/>
      <c r="AC131" s="424"/>
      <c r="AD131" s="123">
        <f t="shared" si="3"/>
        <v>0</v>
      </c>
      <c r="AE131" s="603"/>
      <c r="AF131" s="113">
        <f t="shared" si="2"/>
        <v>0</v>
      </c>
      <c r="AG131" s="465"/>
      <c r="AN131" s="77"/>
      <c r="AP131" s="377"/>
      <c r="AQ131" s="377"/>
      <c r="AR131" s="377"/>
      <c r="AS131" s="377"/>
      <c r="AT131" s="377"/>
      <c r="AU131" s="377"/>
      <c r="AV131" s="377"/>
      <c r="AW131" s="377"/>
      <c r="AX131" s="377"/>
      <c r="AY131" s="377"/>
      <c r="AZ131" s="377"/>
      <c r="BA131" s="377"/>
      <c r="BB131" s="377"/>
      <c r="BC131" s="377"/>
      <c r="BD131" s="377"/>
      <c r="BE131" s="377"/>
      <c r="BF131" s="377"/>
      <c r="BG131" s="377"/>
      <c r="BH131" s="377"/>
    </row>
    <row r="132" spans="1:60" s="3" customFormat="1" ht="14.25" x14ac:dyDescent="0.2">
      <c r="A132" s="425"/>
      <c r="B132" s="425"/>
      <c r="C132" s="426"/>
      <c r="D132" s="426"/>
      <c r="E132" s="426"/>
      <c r="F132" s="426"/>
      <c r="G132" s="426"/>
      <c r="H132" s="426"/>
      <c r="I132" s="426"/>
      <c r="J132" s="426"/>
      <c r="K132" s="426"/>
      <c r="L132" s="426"/>
      <c r="M132" s="426"/>
      <c r="N132" s="426"/>
      <c r="O132" s="426"/>
      <c r="P132" s="426"/>
      <c r="Q132" s="426"/>
      <c r="R132" s="426"/>
      <c r="S132" s="426"/>
      <c r="T132" s="426"/>
      <c r="U132" s="426"/>
      <c r="V132" s="426"/>
      <c r="W132" s="426"/>
      <c r="X132" s="426"/>
      <c r="Y132" s="426"/>
      <c r="Z132" s="426"/>
      <c r="AA132" s="426"/>
      <c r="AB132" s="426"/>
      <c r="AC132" s="426"/>
      <c r="AD132" s="161">
        <f t="shared" si="3"/>
        <v>0</v>
      </c>
      <c r="AE132" s="602"/>
      <c r="AF132" s="160">
        <f t="shared" si="2"/>
        <v>0</v>
      </c>
      <c r="AG132" s="627"/>
      <c r="AN132" s="77"/>
      <c r="AP132" s="377"/>
      <c r="AQ132" s="377"/>
      <c r="AR132" s="377"/>
      <c r="AS132" s="377"/>
      <c r="AT132" s="377"/>
      <c r="AU132" s="377"/>
      <c r="AV132" s="377"/>
      <c r="AW132" s="377"/>
      <c r="AX132" s="377"/>
      <c r="AY132" s="377"/>
      <c r="AZ132" s="377"/>
      <c r="BA132" s="377"/>
      <c r="BB132" s="377"/>
      <c r="BC132" s="377"/>
      <c r="BD132" s="377"/>
      <c r="BE132" s="377"/>
      <c r="BF132" s="377"/>
      <c r="BG132" s="377"/>
      <c r="BH132" s="377"/>
    </row>
    <row r="133" spans="1:60" s="3" customFormat="1" ht="14.25" x14ac:dyDescent="0.2">
      <c r="A133" s="423"/>
      <c r="B133" s="423"/>
      <c r="C133" s="424"/>
      <c r="D133" s="424"/>
      <c r="E133" s="424"/>
      <c r="F133" s="424"/>
      <c r="G133" s="424"/>
      <c r="H133" s="424"/>
      <c r="I133" s="424"/>
      <c r="J133" s="424"/>
      <c r="K133" s="424"/>
      <c r="L133" s="424"/>
      <c r="M133" s="424"/>
      <c r="N133" s="424"/>
      <c r="O133" s="424"/>
      <c r="P133" s="424"/>
      <c r="Q133" s="424"/>
      <c r="R133" s="424"/>
      <c r="S133" s="424"/>
      <c r="T133" s="424"/>
      <c r="U133" s="424"/>
      <c r="V133" s="424"/>
      <c r="W133" s="424"/>
      <c r="X133" s="424"/>
      <c r="Y133" s="424"/>
      <c r="Z133" s="424"/>
      <c r="AA133" s="424"/>
      <c r="AB133" s="424"/>
      <c r="AC133" s="424"/>
      <c r="AD133" s="123">
        <f t="shared" si="3"/>
        <v>0</v>
      </c>
      <c r="AE133" s="603"/>
      <c r="AF133" s="113">
        <f t="shared" si="2"/>
        <v>0</v>
      </c>
      <c r="AG133" s="465"/>
      <c r="AN133" s="77"/>
      <c r="AP133" s="377"/>
      <c r="AQ133" s="377"/>
      <c r="AR133" s="377"/>
      <c r="AS133" s="377"/>
      <c r="AT133" s="377"/>
      <c r="AU133" s="377"/>
      <c r="AV133" s="377"/>
      <c r="AW133" s="377"/>
      <c r="AX133" s="377"/>
      <c r="AY133" s="377"/>
      <c r="AZ133" s="377"/>
      <c r="BA133" s="377"/>
      <c r="BB133" s="377"/>
      <c r="BC133" s="377"/>
      <c r="BD133" s="377"/>
      <c r="BE133" s="377"/>
      <c r="BF133" s="377"/>
      <c r="BG133" s="377"/>
      <c r="BH133" s="377"/>
    </row>
    <row r="134" spans="1:60" s="3" customFormat="1" ht="14.25" x14ac:dyDescent="0.2">
      <c r="A134" s="425"/>
      <c r="B134" s="425"/>
      <c r="C134" s="426"/>
      <c r="D134" s="426"/>
      <c r="E134" s="426"/>
      <c r="F134" s="426"/>
      <c r="G134" s="426"/>
      <c r="H134" s="426"/>
      <c r="I134" s="426"/>
      <c r="J134" s="426"/>
      <c r="K134" s="426"/>
      <c r="L134" s="426"/>
      <c r="M134" s="426"/>
      <c r="N134" s="426"/>
      <c r="O134" s="426"/>
      <c r="P134" s="426"/>
      <c r="Q134" s="426"/>
      <c r="R134" s="426"/>
      <c r="S134" s="426"/>
      <c r="T134" s="426"/>
      <c r="U134" s="426"/>
      <c r="V134" s="426"/>
      <c r="W134" s="426"/>
      <c r="X134" s="426"/>
      <c r="Y134" s="426"/>
      <c r="Z134" s="426"/>
      <c r="AA134" s="426"/>
      <c r="AB134" s="426"/>
      <c r="AC134" s="426"/>
      <c r="AD134" s="161">
        <f t="shared" si="3"/>
        <v>0</v>
      </c>
      <c r="AE134" s="602"/>
      <c r="AF134" s="160">
        <f t="shared" si="2"/>
        <v>0</v>
      </c>
      <c r="AG134" s="627"/>
      <c r="AN134" s="77"/>
      <c r="AP134" s="377"/>
      <c r="AQ134" s="377"/>
      <c r="AR134" s="377"/>
      <c r="AS134" s="377"/>
      <c r="AT134" s="377"/>
      <c r="AU134" s="377"/>
      <c r="AV134" s="377"/>
      <c r="AW134" s="377"/>
      <c r="AX134" s="377"/>
      <c r="AY134" s="377"/>
      <c r="AZ134" s="377"/>
      <c r="BA134" s="377"/>
      <c r="BB134" s="377"/>
      <c r="BC134" s="377"/>
      <c r="BD134" s="377"/>
      <c r="BE134" s="377"/>
      <c r="BF134" s="377"/>
      <c r="BG134" s="377"/>
      <c r="BH134" s="377"/>
    </row>
    <row r="135" spans="1:60" s="3" customFormat="1" ht="14.25" x14ac:dyDescent="0.2">
      <c r="A135" s="423"/>
      <c r="B135" s="423"/>
      <c r="C135" s="424"/>
      <c r="D135" s="424"/>
      <c r="E135" s="424"/>
      <c r="F135" s="424"/>
      <c r="G135" s="424"/>
      <c r="H135" s="424"/>
      <c r="I135" s="424"/>
      <c r="J135" s="424"/>
      <c r="K135" s="424"/>
      <c r="L135" s="424"/>
      <c r="M135" s="424"/>
      <c r="N135" s="424"/>
      <c r="O135" s="424"/>
      <c r="P135" s="424"/>
      <c r="Q135" s="424"/>
      <c r="R135" s="424"/>
      <c r="S135" s="424"/>
      <c r="T135" s="424"/>
      <c r="U135" s="424"/>
      <c r="V135" s="424"/>
      <c r="W135" s="424"/>
      <c r="X135" s="424"/>
      <c r="Y135" s="424"/>
      <c r="Z135" s="424"/>
      <c r="AA135" s="424"/>
      <c r="AB135" s="424"/>
      <c r="AC135" s="424"/>
      <c r="AD135" s="123">
        <f t="shared" si="3"/>
        <v>0</v>
      </c>
      <c r="AE135" s="603"/>
      <c r="AF135" s="113">
        <f t="shared" si="2"/>
        <v>0</v>
      </c>
      <c r="AG135" s="465"/>
      <c r="AN135" s="77"/>
      <c r="AP135" s="377"/>
      <c r="AQ135" s="377"/>
      <c r="AR135" s="377"/>
      <c r="AS135" s="377"/>
      <c r="AT135" s="377"/>
      <c r="AU135" s="377"/>
      <c r="AV135" s="377"/>
      <c r="AW135" s="377"/>
      <c r="AX135" s="377"/>
      <c r="AY135" s="377"/>
      <c r="AZ135" s="377"/>
      <c r="BA135" s="377"/>
      <c r="BB135" s="377"/>
      <c r="BC135" s="377"/>
      <c r="BD135" s="377"/>
      <c r="BE135" s="377"/>
      <c r="BF135" s="377"/>
      <c r="BG135" s="377"/>
      <c r="BH135" s="377"/>
    </row>
    <row r="136" spans="1:60" s="3" customFormat="1" ht="14.25" x14ac:dyDescent="0.2">
      <c r="A136" s="425"/>
      <c r="B136" s="425"/>
      <c r="C136" s="426"/>
      <c r="D136" s="426"/>
      <c r="E136" s="426"/>
      <c r="F136" s="426"/>
      <c r="G136" s="426"/>
      <c r="H136" s="426"/>
      <c r="I136" s="426"/>
      <c r="J136" s="426"/>
      <c r="K136" s="426"/>
      <c r="L136" s="426"/>
      <c r="M136" s="426"/>
      <c r="N136" s="426"/>
      <c r="O136" s="426"/>
      <c r="P136" s="426"/>
      <c r="Q136" s="426"/>
      <c r="R136" s="426"/>
      <c r="S136" s="426"/>
      <c r="T136" s="426"/>
      <c r="U136" s="426"/>
      <c r="V136" s="426"/>
      <c r="W136" s="426"/>
      <c r="X136" s="426"/>
      <c r="Y136" s="426"/>
      <c r="Z136" s="426"/>
      <c r="AA136" s="426"/>
      <c r="AB136" s="426"/>
      <c r="AC136" s="426"/>
      <c r="AD136" s="161">
        <f t="shared" si="3"/>
        <v>0</v>
      </c>
      <c r="AE136" s="602"/>
      <c r="AF136" s="160">
        <f t="shared" si="2"/>
        <v>0</v>
      </c>
      <c r="AG136" s="627"/>
      <c r="AN136" s="77"/>
      <c r="AP136" s="377"/>
      <c r="AQ136" s="377"/>
      <c r="AR136" s="377"/>
      <c r="AS136" s="377"/>
      <c r="AT136" s="377"/>
      <c r="AU136" s="377"/>
      <c r="AV136" s="377"/>
      <c r="AW136" s="377"/>
      <c r="AX136" s="377"/>
      <c r="AY136" s="377"/>
      <c r="AZ136" s="377"/>
      <c r="BA136" s="377"/>
      <c r="BB136" s="377"/>
      <c r="BC136" s="377"/>
      <c r="BD136" s="377"/>
      <c r="BE136" s="377"/>
      <c r="BF136" s="377"/>
      <c r="BG136" s="377"/>
      <c r="BH136" s="377"/>
    </row>
    <row r="137" spans="1:60" s="3" customFormat="1" ht="14.25" x14ac:dyDescent="0.2">
      <c r="A137" s="423"/>
      <c r="B137" s="423"/>
      <c r="C137" s="424"/>
      <c r="D137" s="424"/>
      <c r="E137" s="424"/>
      <c r="F137" s="424"/>
      <c r="G137" s="424"/>
      <c r="H137" s="424"/>
      <c r="I137" s="424"/>
      <c r="J137" s="424"/>
      <c r="K137" s="424"/>
      <c r="L137" s="424"/>
      <c r="M137" s="424"/>
      <c r="N137" s="424"/>
      <c r="O137" s="424"/>
      <c r="P137" s="424"/>
      <c r="Q137" s="424"/>
      <c r="R137" s="424"/>
      <c r="S137" s="424"/>
      <c r="T137" s="424"/>
      <c r="U137" s="424"/>
      <c r="V137" s="424"/>
      <c r="W137" s="424"/>
      <c r="X137" s="424"/>
      <c r="Y137" s="424"/>
      <c r="Z137" s="424"/>
      <c r="AA137" s="424"/>
      <c r="AB137" s="424"/>
      <c r="AC137" s="424"/>
      <c r="AD137" s="123">
        <f t="shared" si="3"/>
        <v>0</v>
      </c>
      <c r="AE137" s="603"/>
      <c r="AF137" s="113">
        <f t="shared" si="2"/>
        <v>0</v>
      </c>
      <c r="AG137" s="465"/>
      <c r="AN137" s="77"/>
      <c r="AP137" s="377"/>
      <c r="AQ137" s="377"/>
      <c r="AR137" s="377"/>
      <c r="AS137" s="377"/>
      <c r="AT137" s="377"/>
      <c r="AU137" s="377"/>
      <c r="AV137" s="377"/>
      <c r="AW137" s="377"/>
      <c r="AX137" s="377"/>
      <c r="AY137" s="377"/>
      <c r="AZ137" s="377"/>
      <c r="BA137" s="377"/>
      <c r="BB137" s="377"/>
      <c r="BC137" s="377"/>
      <c r="BD137" s="377"/>
      <c r="BE137" s="377"/>
      <c r="BF137" s="377"/>
      <c r="BG137" s="377"/>
      <c r="BH137" s="377"/>
    </row>
    <row r="138" spans="1:60" s="3" customFormat="1" ht="14.25" x14ac:dyDescent="0.2">
      <c r="A138" s="425"/>
      <c r="B138" s="425"/>
      <c r="C138" s="426"/>
      <c r="D138" s="426"/>
      <c r="E138" s="426"/>
      <c r="F138" s="426"/>
      <c r="G138" s="426"/>
      <c r="H138" s="426"/>
      <c r="I138" s="426"/>
      <c r="J138" s="426"/>
      <c r="K138" s="426"/>
      <c r="L138" s="426"/>
      <c r="M138" s="426"/>
      <c r="N138" s="426"/>
      <c r="O138" s="426"/>
      <c r="P138" s="426"/>
      <c r="Q138" s="426"/>
      <c r="R138" s="426"/>
      <c r="S138" s="426"/>
      <c r="T138" s="426"/>
      <c r="U138" s="426"/>
      <c r="V138" s="426"/>
      <c r="W138" s="426"/>
      <c r="X138" s="426"/>
      <c r="Y138" s="426"/>
      <c r="Z138" s="426"/>
      <c r="AA138" s="426"/>
      <c r="AB138" s="426"/>
      <c r="AC138" s="426"/>
      <c r="AD138" s="161">
        <f t="shared" si="3"/>
        <v>0</v>
      </c>
      <c r="AE138" s="602"/>
      <c r="AF138" s="160">
        <f t="shared" si="2"/>
        <v>0</v>
      </c>
      <c r="AG138" s="627"/>
      <c r="AN138" s="77"/>
      <c r="AP138" s="377"/>
      <c r="AQ138" s="377"/>
      <c r="AR138" s="377"/>
      <c r="AS138" s="377"/>
      <c r="AT138" s="377"/>
      <c r="AU138" s="377"/>
      <c r="AV138" s="377"/>
      <c r="AW138" s="377"/>
      <c r="AX138" s="377"/>
      <c r="AY138" s="377"/>
      <c r="AZ138" s="377"/>
      <c r="BA138" s="377"/>
      <c r="BB138" s="377"/>
      <c r="BC138" s="377"/>
      <c r="BD138" s="377"/>
      <c r="BE138" s="377"/>
      <c r="BF138" s="377"/>
      <c r="BG138" s="377"/>
      <c r="BH138" s="377"/>
    </row>
    <row r="139" spans="1:60" s="3" customFormat="1" ht="14.25" x14ac:dyDescent="0.2">
      <c r="A139" s="423"/>
      <c r="B139" s="423"/>
      <c r="C139" s="424"/>
      <c r="D139" s="424"/>
      <c r="E139" s="424"/>
      <c r="F139" s="424"/>
      <c r="G139" s="424"/>
      <c r="H139" s="424"/>
      <c r="I139" s="424"/>
      <c r="J139" s="424"/>
      <c r="K139" s="424"/>
      <c r="L139" s="424"/>
      <c r="M139" s="424"/>
      <c r="N139" s="424"/>
      <c r="O139" s="424"/>
      <c r="P139" s="424"/>
      <c r="Q139" s="424"/>
      <c r="R139" s="424"/>
      <c r="S139" s="424"/>
      <c r="T139" s="424"/>
      <c r="U139" s="424"/>
      <c r="V139" s="424"/>
      <c r="W139" s="424"/>
      <c r="X139" s="424"/>
      <c r="Y139" s="424"/>
      <c r="Z139" s="424"/>
      <c r="AA139" s="424"/>
      <c r="AB139" s="424"/>
      <c r="AC139" s="424"/>
      <c r="AD139" s="123">
        <f t="shared" si="3"/>
        <v>0</v>
      </c>
      <c r="AE139" s="603"/>
      <c r="AF139" s="113">
        <f t="shared" si="2"/>
        <v>0</v>
      </c>
      <c r="AG139" s="465"/>
      <c r="AN139" s="77"/>
      <c r="AP139" s="377"/>
      <c r="AQ139" s="377"/>
      <c r="AR139" s="377"/>
      <c r="AS139" s="377"/>
      <c r="AT139" s="377"/>
      <c r="AU139" s="377"/>
      <c r="AV139" s="377"/>
      <c r="AW139" s="377"/>
      <c r="AX139" s="377"/>
      <c r="AY139" s="377"/>
      <c r="AZ139" s="377"/>
      <c r="BA139" s="377"/>
      <c r="BB139" s="377"/>
      <c r="BC139" s="377"/>
      <c r="BD139" s="377"/>
      <c r="BE139" s="377"/>
      <c r="BF139" s="377"/>
      <c r="BG139" s="377"/>
      <c r="BH139" s="377"/>
    </row>
    <row r="140" spans="1:60" s="3" customFormat="1" ht="14.25" x14ac:dyDescent="0.2">
      <c r="A140" s="425"/>
      <c r="B140" s="425"/>
      <c r="C140" s="426"/>
      <c r="D140" s="426"/>
      <c r="E140" s="426"/>
      <c r="F140" s="426"/>
      <c r="G140" s="426"/>
      <c r="H140" s="426"/>
      <c r="I140" s="426"/>
      <c r="J140" s="426"/>
      <c r="K140" s="426"/>
      <c r="L140" s="426"/>
      <c r="M140" s="426"/>
      <c r="N140" s="426"/>
      <c r="O140" s="426"/>
      <c r="P140" s="426"/>
      <c r="Q140" s="426"/>
      <c r="R140" s="426"/>
      <c r="S140" s="426"/>
      <c r="T140" s="426"/>
      <c r="U140" s="426"/>
      <c r="V140" s="426"/>
      <c r="W140" s="426"/>
      <c r="X140" s="426"/>
      <c r="Y140" s="426"/>
      <c r="Z140" s="426"/>
      <c r="AA140" s="426"/>
      <c r="AB140" s="426"/>
      <c r="AC140" s="426"/>
      <c r="AD140" s="161">
        <f t="shared" si="3"/>
        <v>0</v>
      </c>
      <c r="AE140" s="602"/>
      <c r="AF140" s="160">
        <f t="shared" si="2"/>
        <v>0</v>
      </c>
      <c r="AG140" s="627"/>
      <c r="AN140" s="77"/>
      <c r="AP140" s="377"/>
      <c r="AQ140" s="377"/>
      <c r="AR140" s="377"/>
      <c r="AS140" s="377"/>
      <c r="AT140" s="377"/>
      <c r="AU140" s="377"/>
      <c r="AV140" s="377"/>
      <c r="AW140" s="377"/>
      <c r="AX140" s="377"/>
      <c r="AY140" s="377"/>
      <c r="AZ140" s="377"/>
      <c r="BA140" s="377"/>
      <c r="BB140" s="377"/>
      <c r="BC140" s="377"/>
      <c r="BD140" s="377"/>
      <c r="BE140" s="377"/>
      <c r="BF140" s="377"/>
      <c r="BG140" s="377"/>
      <c r="BH140" s="377"/>
    </row>
    <row r="141" spans="1:60" s="3" customFormat="1" ht="14.25" x14ac:dyDescent="0.2">
      <c r="A141" s="423"/>
      <c r="B141" s="423"/>
      <c r="C141" s="424"/>
      <c r="D141" s="424"/>
      <c r="E141" s="424"/>
      <c r="F141" s="424"/>
      <c r="G141" s="424"/>
      <c r="H141" s="424"/>
      <c r="I141" s="424"/>
      <c r="J141" s="424"/>
      <c r="K141" s="424"/>
      <c r="L141" s="424"/>
      <c r="M141" s="424"/>
      <c r="N141" s="424"/>
      <c r="O141" s="424"/>
      <c r="P141" s="424"/>
      <c r="Q141" s="424"/>
      <c r="R141" s="424"/>
      <c r="S141" s="424"/>
      <c r="T141" s="424"/>
      <c r="U141" s="424"/>
      <c r="V141" s="424"/>
      <c r="W141" s="424"/>
      <c r="X141" s="424"/>
      <c r="Y141" s="424"/>
      <c r="Z141" s="424"/>
      <c r="AA141" s="424"/>
      <c r="AB141" s="424"/>
      <c r="AC141" s="424"/>
      <c r="AD141" s="123">
        <f t="shared" si="3"/>
        <v>0</v>
      </c>
      <c r="AE141" s="603"/>
      <c r="AF141" s="113">
        <f t="shared" si="2"/>
        <v>0</v>
      </c>
      <c r="AG141" s="465"/>
      <c r="AN141" s="77"/>
      <c r="AP141" s="377"/>
      <c r="AQ141" s="377"/>
      <c r="AR141" s="377"/>
      <c r="AS141" s="377"/>
      <c r="AT141" s="377"/>
      <c r="AU141" s="377"/>
      <c r="AV141" s="377"/>
      <c r="AW141" s="377"/>
      <c r="AX141" s="377"/>
      <c r="AY141" s="377"/>
      <c r="AZ141" s="377"/>
      <c r="BA141" s="377"/>
      <c r="BB141" s="377"/>
      <c r="BC141" s="377"/>
      <c r="BD141" s="377"/>
      <c r="BE141" s="377"/>
      <c r="BF141" s="377"/>
      <c r="BG141" s="377"/>
      <c r="BH141" s="377"/>
    </row>
    <row r="142" spans="1:60" s="3" customFormat="1" ht="14.25" x14ac:dyDescent="0.2">
      <c r="A142" s="425"/>
      <c r="B142" s="425"/>
      <c r="C142" s="426"/>
      <c r="D142" s="426"/>
      <c r="E142" s="426"/>
      <c r="F142" s="426"/>
      <c r="G142" s="426"/>
      <c r="H142" s="426"/>
      <c r="I142" s="426"/>
      <c r="J142" s="426"/>
      <c r="K142" s="426"/>
      <c r="L142" s="426"/>
      <c r="M142" s="426"/>
      <c r="N142" s="426"/>
      <c r="O142" s="426"/>
      <c r="P142" s="426"/>
      <c r="Q142" s="426"/>
      <c r="R142" s="426"/>
      <c r="S142" s="426"/>
      <c r="T142" s="426"/>
      <c r="U142" s="426"/>
      <c r="V142" s="426"/>
      <c r="W142" s="426"/>
      <c r="X142" s="426"/>
      <c r="Y142" s="426"/>
      <c r="Z142" s="426"/>
      <c r="AA142" s="426"/>
      <c r="AB142" s="426"/>
      <c r="AC142" s="426"/>
      <c r="AD142" s="161">
        <f t="shared" si="3"/>
        <v>0</v>
      </c>
      <c r="AE142" s="602"/>
      <c r="AF142" s="160">
        <f t="shared" si="2"/>
        <v>0</v>
      </c>
      <c r="AG142" s="627"/>
      <c r="AN142" s="77"/>
      <c r="AP142" s="377"/>
      <c r="AQ142" s="377"/>
      <c r="AR142" s="377"/>
      <c r="AS142" s="377"/>
      <c r="AT142" s="377"/>
      <c r="AU142" s="377"/>
      <c r="AV142" s="377"/>
      <c r="AW142" s="377"/>
      <c r="AX142" s="377"/>
      <c r="AY142" s="377"/>
      <c r="AZ142" s="377"/>
      <c r="BA142" s="377"/>
      <c r="BB142" s="377"/>
      <c r="BC142" s="377"/>
      <c r="BD142" s="377"/>
      <c r="BE142" s="377"/>
      <c r="BF142" s="377"/>
      <c r="BG142" s="377"/>
      <c r="BH142" s="377"/>
    </row>
    <row r="143" spans="1:60" s="3" customFormat="1" ht="14.25" x14ac:dyDescent="0.2">
      <c r="A143" s="423"/>
      <c r="B143" s="423"/>
      <c r="C143" s="424"/>
      <c r="D143" s="424"/>
      <c r="E143" s="424"/>
      <c r="F143" s="424"/>
      <c r="G143" s="424"/>
      <c r="H143" s="424"/>
      <c r="I143" s="424"/>
      <c r="J143" s="424"/>
      <c r="K143" s="424"/>
      <c r="L143" s="424"/>
      <c r="M143" s="424"/>
      <c r="N143" s="424"/>
      <c r="O143" s="424"/>
      <c r="P143" s="424"/>
      <c r="Q143" s="424"/>
      <c r="R143" s="424"/>
      <c r="S143" s="424"/>
      <c r="T143" s="424"/>
      <c r="U143" s="424"/>
      <c r="V143" s="424"/>
      <c r="W143" s="424"/>
      <c r="X143" s="424"/>
      <c r="Y143" s="424"/>
      <c r="Z143" s="424"/>
      <c r="AA143" s="424"/>
      <c r="AB143" s="424"/>
      <c r="AC143" s="424"/>
      <c r="AD143" s="123">
        <f t="shared" si="3"/>
        <v>0</v>
      </c>
      <c r="AE143" s="603"/>
      <c r="AF143" s="113">
        <f t="shared" ref="AF143:AF152" si="4">AD143*AE143</f>
        <v>0</v>
      </c>
      <c r="AG143" s="465"/>
      <c r="AN143" s="77"/>
      <c r="AP143" s="377"/>
      <c r="AQ143" s="377"/>
      <c r="AR143" s="377"/>
      <c r="AS143" s="377"/>
      <c r="AT143" s="377"/>
      <c r="AU143" s="377"/>
      <c r="AV143" s="377"/>
      <c r="AW143" s="377"/>
      <c r="AX143" s="377"/>
      <c r="AY143" s="377"/>
      <c r="AZ143" s="377"/>
      <c r="BA143" s="377"/>
      <c r="BB143" s="377"/>
      <c r="BC143" s="377"/>
      <c r="BD143" s="377"/>
      <c r="BE143" s="377"/>
      <c r="BF143" s="377"/>
      <c r="BG143" s="377"/>
      <c r="BH143" s="377"/>
    </row>
    <row r="144" spans="1:60" s="3" customFormat="1" ht="14.25" x14ac:dyDescent="0.2">
      <c r="A144" s="425"/>
      <c r="B144" s="425"/>
      <c r="C144" s="426"/>
      <c r="D144" s="426"/>
      <c r="E144" s="426"/>
      <c r="F144" s="426"/>
      <c r="G144" s="426"/>
      <c r="H144" s="426"/>
      <c r="I144" s="426"/>
      <c r="J144" s="426"/>
      <c r="K144" s="426"/>
      <c r="L144" s="426"/>
      <c r="M144" s="426"/>
      <c r="N144" s="426"/>
      <c r="O144" s="426"/>
      <c r="P144" s="426"/>
      <c r="Q144" s="426"/>
      <c r="R144" s="426"/>
      <c r="S144" s="426"/>
      <c r="T144" s="426"/>
      <c r="U144" s="426"/>
      <c r="V144" s="426"/>
      <c r="W144" s="426"/>
      <c r="X144" s="426"/>
      <c r="Y144" s="426"/>
      <c r="Z144" s="426"/>
      <c r="AA144" s="426"/>
      <c r="AB144" s="426"/>
      <c r="AC144" s="426"/>
      <c r="AD144" s="161">
        <f t="shared" si="3"/>
        <v>0</v>
      </c>
      <c r="AE144" s="602"/>
      <c r="AF144" s="160">
        <f t="shared" si="4"/>
        <v>0</v>
      </c>
      <c r="AG144" s="627"/>
      <c r="AN144" s="77"/>
      <c r="AP144" s="377"/>
      <c r="AQ144" s="377"/>
      <c r="AR144" s="377"/>
      <c r="AS144" s="377"/>
      <c r="AT144" s="377"/>
      <c r="AU144" s="377"/>
      <c r="AV144" s="377"/>
      <c r="AW144" s="377"/>
      <c r="AX144" s="377"/>
      <c r="AY144" s="377"/>
      <c r="AZ144" s="377"/>
      <c r="BA144" s="377"/>
      <c r="BB144" s="377"/>
      <c r="BC144" s="377"/>
      <c r="BD144" s="377"/>
      <c r="BE144" s="377"/>
      <c r="BF144" s="377"/>
      <c r="BG144" s="377"/>
      <c r="BH144" s="377"/>
    </row>
    <row r="145" spans="1:60" s="3" customFormat="1" ht="14.25" x14ac:dyDescent="0.2">
      <c r="A145" s="423"/>
      <c r="B145" s="423"/>
      <c r="C145" s="424"/>
      <c r="D145" s="424"/>
      <c r="E145" s="424"/>
      <c r="F145" s="424"/>
      <c r="G145" s="424"/>
      <c r="H145" s="424"/>
      <c r="I145" s="424"/>
      <c r="J145" s="424"/>
      <c r="K145" s="424"/>
      <c r="L145" s="424"/>
      <c r="M145" s="424"/>
      <c r="N145" s="424"/>
      <c r="O145" s="424"/>
      <c r="P145" s="424"/>
      <c r="Q145" s="424"/>
      <c r="R145" s="424"/>
      <c r="S145" s="424"/>
      <c r="T145" s="424"/>
      <c r="U145" s="424"/>
      <c r="V145" s="424"/>
      <c r="W145" s="424"/>
      <c r="X145" s="424"/>
      <c r="Y145" s="424"/>
      <c r="Z145" s="424"/>
      <c r="AA145" s="424"/>
      <c r="AB145" s="424"/>
      <c r="AC145" s="424"/>
      <c r="AD145" s="123">
        <f t="shared" si="3"/>
        <v>0</v>
      </c>
      <c r="AE145" s="603"/>
      <c r="AF145" s="113">
        <f t="shared" si="4"/>
        <v>0</v>
      </c>
      <c r="AG145" s="465"/>
      <c r="AN145" s="77"/>
      <c r="AP145" s="377"/>
      <c r="AQ145" s="377"/>
      <c r="AR145" s="377"/>
      <c r="AS145" s="377"/>
      <c r="AT145" s="377"/>
      <c r="AU145" s="377"/>
      <c r="AV145" s="377"/>
      <c r="AW145" s="377"/>
      <c r="AX145" s="377"/>
      <c r="AY145" s="377"/>
      <c r="AZ145" s="377"/>
      <c r="BA145" s="377"/>
      <c r="BB145" s="377"/>
      <c r="BC145" s="377"/>
      <c r="BD145" s="377"/>
      <c r="BE145" s="377"/>
      <c r="BF145" s="377"/>
      <c r="BG145" s="377"/>
      <c r="BH145" s="377"/>
    </row>
    <row r="146" spans="1:60" s="3" customFormat="1" ht="14.25" x14ac:dyDescent="0.2">
      <c r="A146" s="425"/>
      <c r="B146" s="425"/>
      <c r="C146" s="426"/>
      <c r="D146" s="426"/>
      <c r="E146" s="426"/>
      <c r="F146" s="426"/>
      <c r="G146" s="426"/>
      <c r="H146" s="426"/>
      <c r="I146" s="426"/>
      <c r="J146" s="426"/>
      <c r="K146" s="426"/>
      <c r="L146" s="426"/>
      <c r="M146" s="426"/>
      <c r="N146" s="426"/>
      <c r="O146" s="426"/>
      <c r="P146" s="426"/>
      <c r="Q146" s="426"/>
      <c r="R146" s="426"/>
      <c r="S146" s="426"/>
      <c r="T146" s="426"/>
      <c r="U146" s="426"/>
      <c r="V146" s="426"/>
      <c r="W146" s="426"/>
      <c r="X146" s="426"/>
      <c r="Y146" s="426"/>
      <c r="Z146" s="426"/>
      <c r="AA146" s="426"/>
      <c r="AB146" s="426"/>
      <c r="AC146" s="426"/>
      <c r="AD146" s="161">
        <f t="shared" si="3"/>
        <v>0</v>
      </c>
      <c r="AE146" s="602"/>
      <c r="AF146" s="160">
        <f t="shared" si="4"/>
        <v>0</v>
      </c>
      <c r="AG146" s="627"/>
      <c r="AN146" s="77"/>
      <c r="AP146" s="377"/>
      <c r="AQ146" s="377"/>
      <c r="AR146" s="377"/>
      <c r="AS146" s="377"/>
      <c r="AT146" s="377"/>
      <c r="AU146" s="377"/>
      <c r="AV146" s="377"/>
      <c r="AW146" s="377"/>
      <c r="AX146" s="377"/>
      <c r="AY146" s="377"/>
      <c r="AZ146" s="377"/>
      <c r="BA146" s="377"/>
      <c r="BB146" s="377"/>
      <c r="BC146" s="377"/>
      <c r="BD146" s="377"/>
      <c r="BE146" s="377"/>
      <c r="BF146" s="377"/>
      <c r="BG146" s="377"/>
      <c r="BH146" s="377"/>
    </row>
    <row r="147" spans="1:60" s="3" customFormat="1" ht="14.25" x14ac:dyDescent="0.2">
      <c r="A147" s="423"/>
      <c r="B147" s="423"/>
      <c r="C147" s="424"/>
      <c r="D147" s="424"/>
      <c r="E147" s="424"/>
      <c r="F147" s="424"/>
      <c r="G147" s="424"/>
      <c r="H147" s="424"/>
      <c r="I147" s="424"/>
      <c r="J147" s="424"/>
      <c r="K147" s="424"/>
      <c r="L147" s="424"/>
      <c r="M147" s="424"/>
      <c r="N147" s="424"/>
      <c r="O147" s="424"/>
      <c r="P147" s="424"/>
      <c r="Q147" s="424"/>
      <c r="R147" s="424"/>
      <c r="S147" s="424"/>
      <c r="T147" s="424"/>
      <c r="U147" s="424"/>
      <c r="V147" s="424"/>
      <c r="W147" s="424"/>
      <c r="X147" s="424"/>
      <c r="Y147" s="424"/>
      <c r="Z147" s="424"/>
      <c r="AA147" s="424"/>
      <c r="AB147" s="424"/>
      <c r="AC147" s="424"/>
      <c r="AD147" s="123">
        <f t="shared" si="3"/>
        <v>0</v>
      </c>
      <c r="AE147" s="603"/>
      <c r="AF147" s="113">
        <f t="shared" si="4"/>
        <v>0</v>
      </c>
      <c r="AG147" s="465"/>
      <c r="AN147" s="77"/>
      <c r="AP147" s="377"/>
      <c r="AQ147" s="377"/>
      <c r="AR147" s="377"/>
      <c r="AS147" s="377"/>
      <c r="AT147" s="377"/>
      <c r="AU147" s="377"/>
      <c r="AV147" s="377"/>
      <c r="AW147" s="377"/>
      <c r="AX147" s="377"/>
      <c r="AY147" s="377"/>
      <c r="AZ147" s="377"/>
      <c r="BA147" s="377"/>
      <c r="BB147" s="377"/>
      <c r="BC147" s="377"/>
      <c r="BD147" s="377"/>
      <c r="BE147" s="377"/>
      <c r="BF147" s="377"/>
      <c r="BG147" s="377"/>
      <c r="BH147" s="377"/>
    </row>
    <row r="148" spans="1:60" s="3" customFormat="1" ht="14.25" x14ac:dyDescent="0.2">
      <c r="A148" s="425"/>
      <c r="B148" s="425"/>
      <c r="C148" s="426"/>
      <c r="D148" s="426"/>
      <c r="E148" s="426"/>
      <c r="F148" s="426"/>
      <c r="G148" s="426"/>
      <c r="H148" s="426"/>
      <c r="I148" s="426"/>
      <c r="J148" s="426"/>
      <c r="K148" s="426"/>
      <c r="L148" s="426"/>
      <c r="M148" s="426"/>
      <c r="N148" s="426"/>
      <c r="O148" s="426"/>
      <c r="P148" s="426"/>
      <c r="Q148" s="426"/>
      <c r="R148" s="426"/>
      <c r="S148" s="426"/>
      <c r="T148" s="426"/>
      <c r="U148" s="426"/>
      <c r="V148" s="426"/>
      <c r="W148" s="426"/>
      <c r="X148" s="426"/>
      <c r="Y148" s="426"/>
      <c r="Z148" s="426"/>
      <c r="AA148" s="426"/>
      <c r="AB148" s="426"/>
      <c r="AC148" s="426"/>
      <c r="AD148" s="161">
        <f t="shared" si="3"/>
        <v>0</v>
      </c>
      <c r="AE148" s="602"/>
      <c r="AF148" s="160">
        <f t="shared" si="4"/>
        <v>0</v>
      </c>
      <c r="AG148" s="627"/>
      <c r="AN148" s="77"/>
      <c r="AP148" s="377"/>
      <c r="AQ148" s="377"/>
      <c r="AR148" s="377"/>
      <c r="AS148" s="377"/>
      <c r="AT148" s="377"/>
      <c r="AU148" s="377"/>
      <c r="AV148" s="377"/>
      <c r="AW148" s="377"/>
      <c r="AX148" s="377"/>
      <c r="AY148" s="377"/>
      <c r="AZ148" s="377"/>
      <c r="BA148" s="377"/>
      <c r="BB148" s="377"/>
      <c r="BC148" s="377"/>
      <c r="BD148" s="377"/>
      <c r="BE148" s="377"/>
      <c r="BF148" s="377"/>
      <c r="BG148" s="377"/>
      <c r="BH148" s="377"/>
    </row>
    <row r="149" spans="1:60" s="3" customFormat="1" ht="14.25" x14ac:dyDescent="0.2">
      <c r="A149" s="423"/>
      <c r="B149" s="423"/>
      <c r="C149" s="424"/>
      <c r="D149" s="424"/>
      <c r="E149" s="424"/>
      <c r="F149" s="424"/>
      <c r="G149" s="424"/>
      <c r="H149" s="424"/>
      <c r="I149" s="424"/>
      <c r="J149" s="424"/>
      <c r="K149" s="424"/>
      <c r="L149" s="424"/>
      <c r="M149" s="424"/>
      <c r="N149" s="424"/>
      <c r="O149" s="424"/>
      <c r="P149" s="424"/>
      <c r="Q149" s="424"/>
      <c r="R149" s="424"/>
      <c r="S149" s="424"/>
      <c r="T149" s="424"/>
      <c r="U149" s="424"/>
      <c r="V149" s="424"/>
      <c r="W149" s="424"/>
      <c r="X149" s="424"/>
      <c r="Y149" s="424"/>
      <c r="Z149" s="424"/>
      <c r="AA149" s="424"/>
      <c r="AB149" s="424"/>
      <c r="AC149" s="424"/>
      <c r="AD149" s="123">
        <f t="shared" si="3"/>
        <v>0</v>
      </c>
      <c r="AE149" s="603"/>
      <c r="AF149" s="113">
        <f t="shared" si="4"/>
        <v>0</v>
      </c>
      <c r="AG149" s="465"/>
      <c r="AN149" s="77"/>
      <c r="AP149" s="377"/>
      <c r="AQ149" s="377"/>
      <c r="AR149" s="377"/>
      <c r="AS149" s="377"/>
      <c r="AT149" s="377"/>
      <c r="AU149" s="377"/>
      <c r="AV149" s="377"/>
      <c r="AW149" s="377"/>
      <c r="AX149" s="377"/>
      <c r="AY149" s="377"/>
      <c r="AZ149" s="377"/>
      <c r="BA149" s="377"/>
      <c r="BB149" s="377"/>
      <c r="BC149" s="377"/>
      <c r="BD149" s="377"/>
      <c r="BE149" s="377"/>
      <c r="BF149" s="377"/>
      <c r="BG149" s="377"/>
      <c r="BH149" s="377"/>
    </row>
    <row r="150" spans="1:60" s="3" customFormat="1" ht="14.25" x14ac:dyDescent="0.2">
      <c r="A150" s="425"/>
      <c r="B150" s="425"/>
      <c r="C150" s="426"/>
      <c r="D150" s="426"/>
      <c r="E150" s="426"/>
      <c r="F150" s="426"/>
      <c r="G150" s="426"/>
      <c r="H150" s="426"/>
      <c r="I150" s="426"/>
      <c r="J150" s="426"/>
      <c r="K150" s="426"/>
      <c r="L150" s="426"/>
      <c r="M150" s="426"/>
      <c r="N150" s="426"/>
      <c r="O150" s="426"/>
      <c r="P150" s="426"/>
      <c r="Q150" s="426"/>
      <c r="R150" s="426"/>
      <c r="S150" s="426"/>
      <c r="T150" s="426"/>
      <c r="U150" s="426"/>
      <c r="V150" s="426"/>
      <c r="W150" s="426"/>
      <c r="X150" s="426"/>
      <c r="Y150" s="426"/>
      <c r="Z150" s="426"/>
      <c r="AA150" s="426"/>
      <c r="AB150" s="426"/>
      <c r="AC150" s="426"/>
      <c r="AD150" s="161">
        <f t="shared" si="3"/>
        <v>0</v>
      </c>
      <c r="AE150" s="602"/>
      <c r="AF150" s="160">
        <f t="shared" si="4"/>
        <v>0</v>
      </c>
      <c r="AG150" s="627"/>
      <c r="AN150" s="77"/>
      <c r="AP150" s="377"/>
      <c r="AQ150" s="377"/>
      <c r="AR150" s="377"/>
      <c r="AS150" s="377"/>
      <c r="AT150" s="377"/>
      <c r="AU150" s="377"/>
      <c r="AV150" s="377"/>
      <c r="AW150" s="377"/>
      <c r="AX150" s="377"/>
      <c r="AY150" s="377"/>
      <c r="AZ150" s="377"/>
      <c r="BA150" s="377"/>
      <c r="BB150" s="377"/>
      <c r="BC150" s="377"/>
      <c r="BD150" s="377"/>
      <c r="BE150" s="377"/>
      <c r="BF150" s="377"/>
      <c r="BG150" s="377"/>
      <c r="BH150" s="377"/>
    </row>
    <row r="151" spans="1:60" s="3" customFormat="1" ht="14.25" x14ac:dyDescent="0.2">
      <c r="A151" s="423"/>
      <c r="B151" s="423"/>
      <c r="C151" s="424"/>
      <c r="D151" s="424"/>
      <c r="E151" s="424"/>
      <c r="F151" s="424"/>
      <c r="G151" s="424"/>
      <c r="H151" s="424"/>
      <c r="I151" s="424"/>
      <c r="J151" s="424"/>
      <c r="K151" s="424"/>
      <c r="L151" s="424"/>
      <c r="M151" s="424"/>
      <c r="N151" s="424"/>
      <c r="O151" s="424"/>
      <c r="P151" s="424"/>
      <c r="Q151" s="424"/>
      <c r="R151" s="424"/>
      <c r="S151" s="424"/>
      <c r="T151" s="424"/>
      <c r="U151" s="424"/>
      <c r="V151" s="424"/>
      <c r="W151" s="424"/>
      <c r="X151" s="424"/>
      <c r="Y151" s="424"/>
      <c r="Z151" s="424"/>
      <c r="AA151" s="424"/>
      <c r="AB151" s="424"/>
      <c r="AC151" s="424"/>
      <c r="AD151" s="123">
        <f t="shared" si="3"/>
        <v>0</v>
      </c>
      <c r="AE151" s="603"/>
      <c r="AF151" s="113">
        <f t="shared" si="4"/>
        <v>0</v>
      </c>
      <c r="AG151" s="465"/>
      <c r="AN151" s="77"/>
      <c r="AP151" s="377"/>
      <c r="AQ151" s="377"/>
      <c r="AR151" s="377"/>
      <c r="AS151" s="377"/>
      <c r="AT151" s="377"/>
      <c r="AU151" s="377"/>
      <c r="AV151" s="377"/>
      <c r="AW151" s="377"/>
      <c r="AX151" s="377"/>
      <c r="AY151" s="377"/>
      <c r="AZ151" s="377"/>
      <c r="BA151" s="377"/>
      <c r="BB151" s="377"/>
      <c r="BC151" s="377"/>
      <c r="BD151" s="377"/>
      <c r="BE151" s="377"/>
      <c r="BF151" s="377"/>
      <c r="BG151" s="377"/>
      <c r="BH151" s="377"/>
    </row>
    <row r="152" spans="1:60" s="3" customFormat="1" ht="15" x14ac:dyDescent="0.25">
      <c r="A152" s="425"/>
      <c r="B152" s="425"/>
      <c r="C152" s="426"/>
      <c r="D152" s="426"/>
      <c r="E152" s="426"/>
      <c r="F152" s="426"/>
      <c r="G152" s="426"/>
      <c r="H152" s="426"/>
      <c r="I152" s="426"/>
      <c r="J152" s="426"/>
      <c r="K152" s="426"/>
      <c r="L152" s="426"/>
      <c r="M152" s="426"/>
      <c r="N152" s="426"/>
      <c r="O152" s="426"/>
      <c r="P152" s="426"/>
      <c r="Q152" s="426"/>
      <c r="R152" s="426"/>
      <c r="S152" s="426"/>
      <c r="T152" s="426"/>
      <c r="U152" s="426"/>
      <c r="V152" s="426"/>
      <c r="W152" s="426"/>
      <c r="X152" s="426"/>
      <c r="Y152" s="426"/>
      <c r="Z152" s="426"/>
      <c r="AA152" s="426"/>
      <c r="AB152" s="426"/>
      <c r="AC152" s="426"/>
      <c r="AD152" s="161">
        <f t="shared" si="3"/>
        <v>0</v>
      </c>
      <c r="AE152" s="602"/>
      <c r="AF152" s="160">
        <f t="shared" si="4"/>
        <v>0</v>
      </c>
      <c r="AG152" s="627"/>
      <c r="AK152" s="112"/>
      <c r="AP152" s="377"/>
      <c r="AQ152" s="377"/>
      <c r="AR152" s="377"/>
      <c r="AS152" s="377"/>
      <c r="AT152" s="377"/>
      <c r="AU152" s="377"/>
      <c r="AV152" s="377"/>
      <c r="AW152" s="377"/>
      <c r="AX152" s="377"/>
      <c r="AY152" s="377"/>
      <c r="AZ152" s="377"/>
      <c r="BA152" s="377"/>
      <c r="BB152" s="377"/>
      <c r="BC152" s="377"/>
      <c r="BD152" s="377"/>
      <c r="BE152" s="377"/>
      <c r="BF152" s="377"/>
      <c r="BG152" s="377"/>
      <c r="BH152" s="377"/>
    </row>
    <row r="153" spans="1:60" s="3" customFormat="1" ht="14.25" x14ac:dyDescent="0.2">
      <c r="A153" s="423"/>
      <c r="B153" s="423"/>
      <c r="C153" s="424"/>
      <c r="D153" s="424"/>
      <c r="E153" s="424"/>
      <c r="F153" s="424"/>
      <c r="G153" s="424"/>
      <c r="H153" s="424"/>
      <c r="I153" s="424"/>
      <c r="J153" s="424"/>
      <c r="K153" s="424"/>
      <c r="L153" s="424"/>
      <c r="M153" s="424"/>
      <c r="N153" s="424"/>
      <c r="O153" s="424"/>
      <c r="P153" s="424"/>
      <c r="Q153" s="424"/>
      <c r="R153" s="424"/>
      <c r="S153" s="424"/>
      <c r="T153" s="424"/>
      <c r="U153" s="424"/>
      <c r="V153" s="424"/>
      <c r="W153" s="424"/>
      <c r="X153" s="424"/>
      <c r="Y153" s="424"/>
      <c r="Z153" s="424"/>
      <c r="AA153" s="424"/>
      <c r="AB153" s="424"/>
      <c r="AC153" s="424"/>
      <c r="AD153" s="123">
        <f t="shared" si="3"/>
        <v>0</v>
      </c>
      <c r="AE153" s="603"/>
      <c r="AF153" s="113">
        <f>AD153*AE153</f>
        <v>0</v>
      </c>
      <c r="AG153" s="465"/>
      <c r="AP153" s="377"/>
      <c r="AQ153" s="377"/>
      <c r="AR153" s="377"/>
      <c r="AS153" s="377"/>
      <c r="AT153" s="377"/>
      <c r="AU153" s="377"/>
      <c r="AV153" s="377"/>
      <c r="AW153" s="377"/>
      <c r="AX153" s="377"/>
      <c r="AY153" s="377"/>
      <c r="AZ153" s="377"/>
      <c r="BA153" s="377"/>
      <c r="BB153" s="377"/>
      <c r="BC153" s="377"/>
      <c r="BD153" s="377"/>
      <c r="BE153" s="377"/>
      <c r="BF153" s="377"/>
      <c r="BG153" s="377"/>
      <c r="BH153" s="377"/>
    </row>
    <row r="154" spans="1:60" s="3" customFormat="1" ht="14.25" x14ac:dyDescent="0.2">
      <c r="A154" s="425"/>
      <c r="B154" s="425"/>
      <c r="C154" s="426"/>
      <c r="D154" s="426"/>
      <c r="E154" s="426"/>
      <c r="F154" s="426"/>
      <c r="G154" s="426"/>
      <c r="H154" s="426"/>
      <c r="I154" s="426"/>
      <c r="J154" s="426"/>
      <c r="K154" s="426"/>
      <c r="L154" s="426"/>
      <c r="M154" s="426"/>
      <c r="N154" s="426"/>
      <c r="O154" s="426"/>
      <c r="P154" s="426"/>
      <c r="Q154" s="426"/>
      <c r="R154" s="426"/>
      <c r="S154" s="426"/>
      <c r="T154" s="426"/>
      <c r="U154" s="426"/>
      <c r="V154" s="426"/>
      <c r="W154" s="426"/>
      <c r="X154" s="426"/>
      <c r="Y154" s="426"/>
      <c r="Z154" s="426"/>
      <c r="AA154" s="426"/>
      <c r="AB154" s="426"/>
      <c r="AC154" s="426"/>
      <c r="AD154" s="161">
        <f t="shared" si="3"/>
        <v>0</v>
      </c>
      <c r="AE154" s="602"/>
      <c r="AF154" s="160">
        <f>AD154*AE154</f>
        <v>0</v>
      </c>
      <c r="AG154" s="627"/>
      <c r="AP154" s="377"/>
      <c r="AQ154" s="377"/>
      <c r="AR154" s="377"/>
      <c r="AS154" s="377"/>
      <c r="AT154" s="377"/>
      <c r="AU154" s="377"/>
      <c r="AV154" s="377"/>
      <c r="AW154" s="377"/>
      <c r="AX154" s="377"/>
      <c r="AY154" s="377"/>
      <c r="AZ154" s="377"/>
      <c r="BA154" s="377"/>
      <c r="BB154" s="377"/>
      <c r="BC154" s="377"/>
      <c r="BD154" s="377"/>
      <c r="BE154" s="377"/>
      <c r="BF154" s="377"/>
      <c r="BG154" s="377"/>
      <c r="BH154" s="377"/>
    </row>
    <row r="155" spans="1:60" s="3" customFormat="1" ht="14.25" x14ac:dyDescent="0.2">
      <c r="A155" s="423"/>
      <c r="B155" s="423"/>
      <c r="C155" s="424"/>
      <c r="D155" s="424"/>
      <c r="E155" s="424"/>
      <c r="F155" s="424"/>
      <c r="G155" s="424"/>
      <c r="H155" s="424"/>
      <c r="I155" s="424"/>
      <c r="J155" s="424"/>
      <c r="K155" s="424"/>
      <c r="L155" s="424"/>
      <c r="M155" s="424"/>
      <c r="N155" s="424"/>
      <c r="O155" s="424"/>
      <c r="P155" s="424"/>
      <c r="Q155" s="424"/>
      <c r="R155" s="424"/>
      <c r="S155" s="424"/>
      <c r="T155" s="424"/>
      <c r="U155" s="424"/>
      <c r="V155" s="424"/>
      <c r="W155" s="424"/>
      <c r="X155" s="424"/>
      <c r="Y155" s="424"/>
      <c r="Z155" s="424"/>
      <c r="AA155" s="424"/>
      <c r="AB155" s="424"/>
      <c r="AC155" s="424"/>
      <c r="AD155" s="123">
        <f t="shared" si="3"/>
        <v>0</v>
      </c>
      <c r="AE155" s="603"/>
      <c r="AF155" s="113">
        <f t="shared" ref="AF155:AF218" si="5">AD155*AE155</f>
        <v>0</v>
      </c>
      <c r="AG155" s="465"/>
      <c r="AP155" s="377"/>
      <c r="AQ155" s="377"/>
      <c r="AR155" s="377"/>
      <c r="AS155" s="377"/>
      <c r="AT155" s="377"/>
      <c r="AU155" s="377"/>
      <c r="AV155" s="377"/>
      <c r="AW155" s="377"/>
      <c r="AX155" s="377"/>
      <c r="AY155" s="377"/>
      <c r="AZ155" s="377"/>
      <c r="BA155" s="377"/>
      <c r="BB155" s="377"/>
      <c r="BC155" s="377"/>
      <c r="BD155" s="377"/>
      <c r="BE155" s="377"/>
      <c r="BF155" s="377"/>
      <c r="BG155" s="377"/>
      <c r="BH155" s="377"/>
    </row>
    <row r="156" spans="1:60" s="3" customFormat="1" ht="14.25" x14ac:dyDescent="0.2">
      <c r="A156" s="425"/>
      <c r="B156" s="425"/>
      <c r="C156" s="426"/>
      <c r="D156" s="426"/>
      <c r="E156" s="426"/>
      <c r="F156" s="426"/>
      <c r="G156" s="426"/>
      <c r="H156" s="426"/>
      <c r="I156" s="426"/>
      <c r="J156" s="426"/>
      <c r="K156" s="426"/>
      <c r="L156" s="426"/>
      <c r="M156" s="426"/>
      <c r="N156" s="426"/>
      <c r="O156" s="426"/>
      <c r="P156" s="426"/>
      <c r="Q156" s="426"/>
      <c r="R156" s="426"/>
      <c r="S156" s="426"/>
      <c r="T156" s="426"/>
      <c r="U156" s="426"/>
      <c r="V156" s="426"/>
      <c r="W156" s="426"/>
      <c r="X156" s="426"/>
      <c r="Y156" s="426"/>
      <c r="Z156" s="426"/>
      <c r="AA156" s="426"/>
      <c r="AB156" s="426"/>
      <c r="AC156" s="426"/>
      <c r="AD156" s="161">
        <f t="shared" si="3"/>
        <v>0</v>
      </c>
      <c r="AE156" s="602"/>
      <c r="AF156" s="160">
        <f t="shared" si="5"/>
        <v>0</v>
      </c>
      <c r="AG156" s="627"/>
      <c r="AP156" s="377"/>
      <c r="AQ156" s="377"/>
      <c r="AR156" s="377"/>
      <c r="AS156" s="377"/>
      <c r="AT156" s="377"/>
      <c r="AU156" s="377"/>
      <c r="AV156" s="377"/>
      <c r="AW156" s="377"/>
      <c r="AX156" s="377"/>
      <c r="AY156" s="377"/>
      <c r="AZ156" s="377"/>
      <c r="BA156" s="377"/>
      <c r="BB156" s="377"/>
      <c r="BC156" s="377"/>
      <c r="BD156" s="377"/>
      <c r="BE156" s="377"/>
      <c r="BF156" s="377"/>
      <c r="BG156" s="377"/>
      <c r="BH156" s="377"/>
    </row>
    <row r="157" spans="1:60" s="3" customFormat="1" ht="14.25" x14ac:dyDescent="0.2">
      <c r="A157" s="423"/>
      <c r="B157" s="423"/>
      <c r="C157" s="424"/>
      <c r="D157" s="424"/>
      <c r="E157" s="424"/>
      <c r="F157" s="424"/>
      <c r="G157" s="424"/>
      <c r="H157" s="424"/>
      <c r="I157" s="424"/>
      <c r="J157" s="424"/>
      <c r="K157" s="424"/>
      <c r="L157" s="424"/>
      <c r="M157" s="424"/>
      <c r="N157" s="424"/>
      <c r="O157" s="424"/>
      <c r="P157" s="424"/>
      <c r="Q157" s="424"/>
      <c r="R157" s="424"/>
      <c r="S157" s="424"/>
      <c r="T157" s="424"/>
      <c r="U157" s="424"/>
      <c r="V157" s="424"/>
      <c r="W157" s="424"/>
      <c r="X157" s="424"/>
      <c r="Y157" s="424"/>
      <c r="Z157" s="424"/>
      <c r="AA157" s="424"/>
      <c r="AB157" s="424"/>
      <c r="AC157" s="424"/>
      <c r="AD157" s="123">
        <f t="shared" si="3"/>
        <v>0</v>
      </c>
      <c r="AE157" s="603"/>
      <c r="AF157" s="113">
        <f t="shared" si="5"/>
        <v>0</v>
      </c>
      <c r="AG157" s="465"/>
      <c r="AP157" s="377"/>
      <c r="AQ157" s="377"/>
      <c r="AR157" s="377"/>
      <c r="AS157" s="377"/>
      <c r="AT157" s="377"/>
      <c r="AU157" s="377"/>
      <c r="AV157" s="377"/>
      <c r="AW157" s="377"/>
      <c r="AX157" s="377"/>
      <c r="AY157" s="377"/>
      <c r="AZ157" s="377"/>
      <c r="BA157" s="377"/>
      <c r="BB157" s="377"/>
      <c r="BC157" s="377"/>
      <c r="BD157" s="377"/>
      <c r="BE157" s="377"/>
      <c r="BF157" s="377"/>
      <c r="BG157" s="377"/>
      <c r="BH157" s="377"/>
    </row>
    <row r="158" spans="1:60" s="112" customFormat="1" ht="15" x14ac:dyDescent="0.25">
      <c r="A158" s="425"/>
      <c r="B158" s="425"/>
      <c r="C158" s="426"/>
      <c r="D158" s="426"/>
      <c r="E158" s="426"/>
      <c r="F158" s="426"/>
      <c r="G158" s="426"/>
      <c r="H158" s="426"/>
      <c r="I158" s="426"/>
      <c r="J158" s="426"/>
      <c r="K158" s="426"/>
      <c r="L158" s="426"/>
      <c r="M158" s="426"/>
      <c r="N158" s="426"/>
      <c r="O158" s="426"/>
      <c r="P158" s="426"/>
      <c r="Q158" s="426"/>
      <c r="R158" s="426"/>
      <c r="S158" s="426"/>
      <c r="T158" s="426"/>
      <c r="U158" s="426"/>
      <c r="V158" s="426"/>
      <c r="W158" s="426"/>
      <c r="X158" s="426"/>
      <c r="Y158" s="426"/>
      <c r="Z158" s="426"/>
      <c r="AA158" s="426"/>
      <c r="AB158" s="426"/>
      <c r="AC158" s="426"/>
      <c r="AD158" s="161">
        <f t="shared" si="3"/>
        <v>0</v>
      </c>
      <c r="AE158" s="602"/>
      <c r="AF158" s="160">
        <f t="shared" si="5"/>
        <v>0</v>
      </c>
      <c r="AG158" s="627"/>
      <c r="AK158" s="3"/>
      <c r="AN158" s="3"/>
      <c r="AP158" s="377"/>
      <c r="AQ158" s="377"/>
      <c r="AR158" s="377"/>
      <c r="AS158" s="377"/>
      <c r="AT158" s="377"/>
      <c r="AU158" s="377"/>
      <c r="AV158" s="377"/>
      <c r="AW158" s="377"/>
      <c r="AX158" s="377"/>
      <c r="AY158" s="379"/>
      <c r="AZ158" s="377"/>
      <c r="BA158" s="377"/>
      <c r="BB158" s="377"/>
      <c r="BC158" s="377"/>
      <c r="BD158" s="377"/>
      <c r="BE158" s="377"/>
      <c r="BF158" s="377"/>
      <c r="BG158" s="377"/>
      <c r="BH158" s="377"/>
    </row>
    <row r="159" spans="1:60" s="3" customFormat="1" ht="15" x14ac:dyDescent="0.25">
      <c r="A159" s="423"/>
      <c r="B159" s="423"/>
      <c r="C159" s="424"/>
      <c r="D159" s="424"/>
      <c r="E159" s="424"/>
      <c r="F159" s="424"/>
      <c r="G159" s="424"/>
      <c r="H159" s="424"/>
      <c r="I159" s="424"/>
      <c r="J159" s="424"/>
      <c r="K159" s="424"/>
      <c r="L159" s="424"/>
      <c r="M159" s="424"/>
      <c r="N159" s="424"/>
      <c r="O159" s="424"/>
      <c r="P159" s="424"/>
      <c r="Q159" s="424"/>
      <c r="R159" s="424"/>
      <c r="S159" s="424"/>
      <c r="T159" s="424"/>
      <c r="U159" s="424"/>
      <c r="V159" s="424"/>
      <c r="W159" s="424"/>
      <c r="X159" s="424"/>
      <c r="Y159" s="424"/>
      <c r="Z159" s="424"/>
      <c r="AA159" s="424"/>
      <c r="AB159" s="424"/>
      <c r="AC159" s="424"/>
      <c r="AD159" s="123">
        <f t="shared" ref="AD159:AD222" si="6">SUM(D159:AC159)</f>
        <v>0</v>
      </c>
      <c r="AE159" s="603"/>
      <c r="AF159" s="113">
        <f t="shared" si="5"/>
        <v>0</v>
      </c>
      <c r="AG159" s="465"/>
      <c r="AN159" s="112"/>
      <c r="AP159" s="377"/>
      <c r="AQ159" s="377"/>
      <c r="AR159" s="377"/>
      <c r="AS159" s="377"/>
      <c r="AT159" s="377"/>
      <c r="AU159" s="377"/>
      <c r="AV159" s="377"/>
      <c r="AW159" s="377"/>
      <c r="AX159" s="377"/>
      <c r="AY159" s="377"/>
      <c r="AZ159" s="377"/>
      <c r="BA159" s="377"/>
      <c r="BB159" s="377"/>
      <c r="BC159" s="377"/>
      <c r="BD159" s="377"/>
      <c r="BE159" s="377"/>
      <c r="BF159" s="377"/>
      <c r="BG159" s="377"/>
      <c r="BH159" s="377"/>
    </row>
    <row r="160" spans="1:60" s="3" customFormat="1" ht="14.25" x14ac:dyDescent="0.2">
      <c r="A160" s="425"/>
      <c r="B160" s="425"/>
      <c r="C160" s="426"/>
      <c r="D160" s="426"/>
      <c r="E160" s="426"/>
      <c r="F160" s="426"/>
      <c r="G160" s="426"/>
      <c r="H160" s="426"/>
      <c r="I160" s="426"/>
      <c r="J160" s="426"/>
      <c r="K160" s="426"/>
      <c r="L160" s="426"/>
      <c r="M160" s="426"/>
      <c r="N160" s="426"/>
      <c r="O160" s="426"/>
      <c r="P160" s="426"/>
      <c r="Q160" s="426"/>
      <c r="R160" s="426"/>
      <c r="S160" s="426"/>
      <c r="T160" s="426"/>
      <c r="U160" s="426"/>
      <c r="V160" s="426"/>
      <c r="W160" s="426"/>
      <c r="X160" s="426"/>
      <c r="Y160" s="426"/>
      <c r="Z160" s="426"/>
      <c r="AA160" s="426"/>
      <c r="AB160" s="426"/>
      <c r="AC160" s="426"/>
      <c r="AD160" s="161">
        <f t="shared" si="6"/>
        <v>0</v>
      </c>
      <c r="AE160" s="602"/>
      <c r="AF160" s="160">
        <f t="shared" si="5"/>
        <v>0</v>
      </c>
      <c r="AG160" s="627"/>
      <c r="AP160" s="377"/>
      <c r="AQ160" s="377"/>
      <c r="AR160" s="377"/>
      <c r="AS160" s="377"/>
      <c r="AT160" s="377"/>
      <c r="AU160" s="377"/>
      <c r="AV160" s="377"/>
      <c r="AW160" s="377"/>
      <c r="AX160" s="377"/>
      <c r="AY160" s="377"/>
      <c r="AZ160" s="377"/>
      <c r="BA160" s="377"/>
      <c r="BB160" s="377"/>
      <c r="BC160" s="377"/>
      <c r="BD160" s="377"/>
      <c r="BE160" s="377"/>
      <c r="BF160" s="377"/>
      <c r="BG160" s="377"/>
      <c r="BH160" s="377"/>
    </row>
    <row r="161" spans="1:60" s="3" customFormat="1" ht="14.25" x14ac:dyDescent="0.2">
      <c r="A161" s="423"/>
      <c r="B161" s="423"/>
      <c r="C161" s="424"/>
      <c r="D161" s="424"/>
      <c r="E161" s="424"/>
      <c r="F161" s="424"/>
      <c r="G161" s="424"/>
      <c r="H161" s="424"/>
      <c r="I161" s="424"/>
      <c r="J161" s="424"/>
      <c r="K161" s="424"/>
      <c r="L161" s="424"/>
      <c r="M161" s="424"/>
      <c r="N161" s="424"/>
      <c r="O161" s="424"/>
      <c r="P161" s="424"/>
      <c r="Q161" s="424"/>
      <c r="R161" s="424"/>
      <c r="S161" s="424"/>
      <c r="T161" s="424"/>
      <c r="U161" s="424"/>
      <c r="V161" s="424"/>
      <c r="W161" s="424"/>
      <c r="X161" s="424"/>
      <c r="Y161" s="424"/>
      <c r="Z161" s="424"/>
      <c r="AA161" s="424"/>
      <c r="AB161" s="424"/>
      <c r="AC161" s="424"/>
      <c r="AD161" s="123">
        <f t="shared" si="6"/>
        <v>0</v>
      </c>
      <c r="AE161" s="603"/>
      <c r="AF161" s="113">
        <f t="shared" si="5"/>
        <v>0</v>
      </c>
      <c r="AG161" s="465"/>
      <c r="AP161" s="377"/>
      <c r="AQ161" s="377"/>
      <c r="AR161" s="377"/>
      <c r="AS161" s="377"/>
      <c r="AT161" s="377"/>
      <c r="AU161" s="377"/>
      <c r="AV161" s="377"/>
      <c r="AW161" s="377"/>
      <c r="AX161" s="377"/>
      <c r="AY161" s="377"/>
      <c r="AZ161" s="377"/>
      <c r="BA161" s="377"/>
      <c r="BB161" s="377"/>
      <c r="BC161" s="377"/>
      <c r="BD161" s="377"/>
      <c r="BE161" s="377"/>
      <c r="BF161" s="377"/>
      <c r="BG161" s="377"/>
      <c r="BH161" s="377"/>
    </row>
    <row r="162" spans="1:60" s="3" customFormat="1" ht="14.25" x14ac:dyDescent="0.2">
      <c r="A162" s="425"/>
      <c r="B162" s="425"/>
      <c r="C162" s="426"/>
      <c r="D162" s="426"/>
      <c r="E162" s="426"/>
      <c r="F162" s="426"/>
      <c r="G162" s="426"/>
      <c r="H162" s="426"/>
      <c r="I162" s="426"/>
      <c r="J162" s="426"/>
      <c r="K162" s="426"/>
      <c r="L162" s="426"/>
      <c r="M162" s="426"/>
      <c r="N162" s="426"/>
      <c r="O162" s="426"/>
      <c r="P162" s="426"/>
      <c r="Q162" s="426"/>
      <c r="R162" s="426"/>
      <c r="S162" s="426"/>
      <c r="T162" s="426"/>
      <c r="U162" s="426"/>
      <c r="V162" s="426"/>
      <c r="W162" s="426"/>
      <c r="X162" s="426"/>
      <c r="Y162" s="426"/>
      <c r="Z162" s="426"/>
      <c r="AA162" s="426"/>
      <c r="AB162" s="426"/>
      <c r="AC162" s="426"/>
      <c r="AD162" s="161">
        <f t="shared" si="6"/>
        <v>0</v>
      </c>
      <c r="AE162" s="602"/>
      <c r="AF162" s="160">
        <f t="shared" si="5"/>
        <v>0</v>
      </c>
      <c r="AG162" s="627"/>
      <c r="AP162" s="377"/>
      <c r="AQ162" s="377"/>
      <c r="AR162" s="377"/>
      <c r="AS162" s="377"/>
      <c r="AT162" s="377"/>
      <c r="AU162" s="377"/>
      <c r="AV162" s="377"/>
      <c r="AW162" s="377"/>
      <c r="AX162" s="377"/>
      <c r="AY162" s="377"/>
      <c r="AZ162" s="377"/>
      <c r="BA162" s="377"/>
      <c r="BB162" s="377"/>
      <c r="BC162" s="377"/>
      <c r="BD162" s="377"/>
      <c r="BE162" s="377"/>
      <c r="BF162" s="377"/>
      <c r="BG162" s="377"/>
      <c r="BH162" s="377"/>
    </row>
    <row r="163" spans="1:60" s="3" customFormat="1" ht="14.25" x14ac:dyDescent="0.2">
      <c r="A163" s="423"/>
      <c r="B163" s="423"/>
      <c r="C163" s="424"/>
      <c r="D163" s="424"/>
      <c r="E163" s="424"/>
      <c r="F163" s="424"/>
      <c r="G163" s="424"/>
      <c r="H163" s="424"/>
      <c r="I163" s="424"/>
      <c r="J163" s="424"/>
      <c r="K163" s="424"/>
      <c r="L163" s="424"/>
      <c r="M163" s="424"/>
      <c r="N163" s="424"/>
      <c r="O163" s="424"/>
      <c r="P163" s="424"/>
      <c r="Q163" s="424"/>
      <c r="R163" s="424"/>
      <c r="S163" s="424"/>
      <c r="T163" s="424"/>
      <c r="U163" s="424"/>
      <c r="V163" s="424"/>
      <c r="W163" s="424"/>
      <c r="X163" s="424"/>
      <c r="Y163" s="424"/>
      <c r="Z163" s="424"/>
      <c r="AA163" s="424"/>
      <c r="AB163" s="424"/>
      <c r="AC163" s="424"/>
      <c r="AD163" s="123">
        <f t="shared" si="6"/>
        <v>0</v>
      </c>
      <c r="AE163" s="603"/>
      <c r="AF163" s="113">
        <f t="shared" si="5"/>
        <v>0</v>
      </c>
      <c r="AG163" s="465"/>
      <c r="AP163" s="377"/>
      <c r="AQ163" s="377"/>
      <c r="AR163" s="377"/>
      <c r="AS163" s="377"/>
      <c r="AT163" s="377"/>
      <c r="AU163" s="377"/>
      <c r="AV163" s="377"/>
      <c r="AW163" s="377"/>
      <c r="AX163" s="377"/>
      <c r="AY163" s="377"/>
      <c r="AZ163" s="377"/>
      <c r="BA163" s="377"/>
      <c r="BB163" s="377"/>
      <c r="BC163" s="377"/>
      <c r="BD163" s="377"/>
      <c r="BE163" s="377"/>
      <c r="BF163" s="377"/>
      <c r="BG163" s="377"/>
      <c r="BH163" s="377"/>
    </row>
    <row r="164" spans="1:60" s="3" customFormat="1" ht="14.25" x14ac:dyDescent="0.2">
      <c r="A164" s="425"/>
      <c r="B164" s="425"/>
      <c r="C164" s="426"/>
      <c r="D164" s="426"/>
      <c r="E164" s="426"/>
      <c r="F164" s="426"/>
      <c r="G164" s="426"/>
      <c r="H164" s="426"/>
      <c r="I164" s="426"/>
      <c r="J164" s="426"/>
      <c r="K164" s="426"/>
      <c r="L164" s="426"/>
      <c r="M164" s="426"/>
      <c r="N164" s="426"/>
      <c r="O164" s="426"/>
      <c r="P164" s="426"/>
      <c r="Q164" s="426"/>
      <c r="R164" s="426"/>
      <c r="S164" s="426"/>
      <c r="T164" s="426"/>
      <c r="U164" s="426"/>
      <c r="V164" s="426"/>
      <c r="W164" s="426"/>
      <c r="X164" s="426"/>
      <c r="Y164" s="426"/>
      <c r="Z164" s="426"/>
      <c r="AA164" s="426"/>
      <c r="AB164" s="426"/>
      <c r="AC164" s="426"/>
      <c r="AD164" s="161">
        <f t="shared" si="6"/>
        <v>0</v>
      </c>
      <c r="AE164" s="602"/>
      <c r="AF164" s="160">
        <f t="shared" si="5"/>
        <v>0</v>
      </c>
      <c r="AG164" s="627"/>
      <c r="AP164" s="377"/>
      <c r="AQ164" s="377"/>
      <c r="AR164" s="377"/>
      <c r="AS164" s="377"/>
      <c r="AT164" s="377"/>
      <c r="AU164" s="377"/>
      <c r="AV164" s="377"/>
      <c r="AW164" s="377"/>
      <c r="AX164" s="377"/>
      <c r="AY164" s="377"/>
      <c r="AZ164" s="377"/>
      <c r="BA164" s="377"/>
      <c r="BB164" s="377"/>
      <c r="BC164" s="377"/>
      <c r="BD164" s="377"/>
      <c r="BE164" s="377"/>
      <c r="BF164" s="377"/>
      <c r="BG164" s="377"/>
      <c r="BH164" s="377"/>
    </row>
    <row r="165" spans="1:60" s="3" customFormat="1" ht="14.25" x14ac:dyDescent="0.2">
      <c r="A165" s="423"/>
      <c r="B165" s="423"/>
      <c r="C165" s="424"/>
      <c r="D165" s="424"/>
      <c r="E165" s="424"/>
      <c r="F165" s="424"/>
      <c r="G165" s="424"/>
      <c r="H165" s="424"/>
      <c r="I165" s="424"/>
      <c r="J165" s="424"/>
      <c r="K165" s="424"/>
      <c r="L165" s="424"/>
      <c r="M165" s="424"/>
      <c r="N165" s="424"/>
      <c r="O165" s="424"/>
      <c r="P165" s="424"/>
      <c r="Q165" s="424"/>
      <c r="R165" s="424"/>
      <c r="S165" s="424"/>
      <c r="T165" s="424"/>
      <c r="U165" s="424"/>
      <c r="V165" s="424"/>
      <c r="W165" s="424"/>
      <c r="X165" s="424"/>
      <c r="Y165" s="424"/>
      <c r="Z165" s="424"/>
      <c r="AA165" s="424"/>
      <c r="AB165" s="424"/>
      <c r="AC165" s="424"/>
      <c r="AD165" s="123">
        <f t="shared" si="6"/>
        <v>0</v>
      </c>
      <c r="AE165" s="603"/>
      <c r="AF165" s="113">
        <f t="shared" si="5"/>
        <v>0</v>
      </c>
      <c r="AG165" s="465"/>
      <c r="AP165" s="377"/>
      <c r="AQ165" s="377"/>
      <c r="AR165" s="377"/>
      <c r="AS165" s="377"/>
      <c r="AT165" s="377"/>
      <c r="AU165" s="377"/>
      <c r="AV165" s="377"/>
      <c r="AW165" s="377"/>
      <c r="AX165" s="377"/>
      <c r="AY165" s="377"/>
      <c r="AZ165" s="377"/>
      <c r="BA165" s="377"/>
      <c r="BB165" s="377"/>
      <c r="BC165" s="377"/>
      <c r="BD165" s="377"/>
      <c r="BE165" s="377"/>
      <c r="BF165" s="377"/>
      <c r="BG165" s="377"/>
      <c r="BH165" s="377"/>
    </row>
    <row r="166" spans="1:60" s="3" customFormat="1" ht="14.25" x14ac:dyDescent="0.2">
      <c r="A166" s="425"/>
      <c r="B166" s="425"/>
      <c r="C166" s="426"/>
      <c r="D166" s="426"/>
      <c r="E166" s="426"/>
      <c r="F166" s="426"/>
      <c r="G166" s="426"/>
      <c r="H166" s="426"/>
      <c r="I166" s="426"/>
      <c r="J166" s="426"/>
      <c r="K166" s="426"/>
      <c r="L166" s="426"/>
      <c r="M166" s="426"/>
      <c r="N166" s="426"/>
      <c r="O166" s="426"/>
      <c r="P166" s="426"/>
      <c r="Q166" s="426"/>
      <c r="R166" s="426"/>
      <c r="S166" s="426"/>
      <c r="T166" s="426"/>
      <c r="U166" s="426"/>
      <c r="V166" s="426"/>
      <c r="W166" s="426"/>
      <c r="X166" s="426"/>
      <c r="Y166" s="426"/>
      <c r="Z166" s="426"/>
      <c r="AA166" s="426"/>
      <c r="AB166" s="426"/>
      <c r="AC166" s="426"/>
      <c r="AD166" s="161">
        <f t="shared" si="6"/>
        <v>0</v>
      </c>
      <c r="AE166" s="602"/>
      <c r="AF166" s="160">
        <f t="shared" si="5"/>
        <v>0</v>
      </c>
      <c r="AG166" s="627"/>
      <c r="AP166" s="377"/>
      <c r="AQ166" s="377"/>
      <c r="AR166" s="377"/>
      <c r="AS166" s="377"/>
      <c r="AT166" s="377"/>
      <c r="AU166" s="377"/>
      <c r="AV166" s="377"/>
      <c r="AW166" s="377"/>
      <c r="AX166" s="377"/>
      <c r="AY166" s="377"/>
      <c r="AZ166" s="377"/>
      <c r="BA166" s="377"/>
      <c r="BB166" s="377"/>
      <c r="BC166" s="377"/>
      <c r="BD166" s="377"/>
      <c r="BE166" s="377"/>
      <c r="BF166" s="377"/>
      <c r="BG166" s="377"/>
      <c r="BH166" s="377"/>
    </row>
    <row r="167" spans="1:60" s="3" customFormat="1" ht="14.25" x14ac:dyDescent="0.2">
      <c r="A167" s="423"/>
      <c r="B167" s="423"/>
      <c r="C167" s="424"/>
      <c r="D167" s="424"/>
      <c r="E167" s="424"/>
      <c r="F167" s="424"/>
      <c r="G167" s="424"/>
      <c r="H167" s="424"/>
      <c r="I167" s="424"/>
      <c r="J167" s="424"/>
      <c r="K167" s="424"/>
      <c r="L167" s="424"/>
      <c r="M167" s="424"/>
      <c r="N167" s="424"/>
      <c r="O167" s="424"/>
      <c r="P167" s="424"/>
      <c r="Q167" s="424"/>
      <c r="R167" s="424"/>
      <c r="S167" s="424"/>
      <c r="T167" s="424"/>
      <c r="U167" s="424"/>
      <c r="V167" s="424"/>
      <c r="W167" s="424"/>
      <c r="X167" s="424"/>
      <c r="Y167" s="424"/>
      <c r="Z167" s="424"/>
      <c r="AA167" s="424"/>
      <c r="AB167" s="424"/>
      <c r="AC167" s="424"/>
      <c r="AD167" s="123">
        <f t="shared" si="6"/>
        <v>0</v>
      </c>
      <c r="AE167" s="603"/>
      <c r="AF167" s="113">
        <f t="shared" si="5"/>
        <v>0</v>
      </c>
      <c r="AG167" s="465"/>
      <c r="AP167" s="377"/>
      <c r="AQ167" s="377"/>
      <c r="AR167" s="377"/>
      <c r="AS167" s="377"/>
      <c r="AT167" s="377"/>
      <c r="AU167" s="377"/>
      <c r="AV167" s="377"/>
      <c r="AW167" s="377"/>
      <c r="AX167" s="377"/>
      <c r="AY167" s="377"/>
      <c r="AZ167" s="377"/>
      <c r="BA167" s="377"/>
      <c r="BB167" s="377"/>
      <c r="BC167" s="377"/>
      <c r="BD167" s="377"/>
      <c r="BE167" s="377"/>
      <c r="BF167" s="377"/>
      <c r="BG167" s="377"/>
      <c r="BH167" s="377"/>
    </row>
    <row r="168" spans="1:60" s="3" customFormat="1" ht="14.25" x14ac:dyDescent="0.2">
      <c r="A168" s="425"/>
      <c r="B168" s="425"/>
      <c r="C168" s="426"/>
      <c r="D168" s="426"/>
      <c r="E168" s="426"/>
      <c r="F168" s="426"/>
      <c r="G168" s="426"/>
      <c r="H168" s="426"/>
      <c r="I168" s="426"/>
      <c r="J168" s="426"/>
      <c r="K168" s="426"/>
      <c r="L168" s="426"/>
      <c r="M168" s="426"/>
      <c r="N168" s="426"/>
      <c r="O168" s="426"/>
      <c r="P168" s="426"/>
      <c r="Q168" s="426"/>
      <c r="R168" s="426"/>
      <c r="S168" s="426"/>
      <c r="T168" s="426"/>
      <c r="U168" s="426"/>
      <c r="V168" s="426"/>
      <c r="W168" s="426"/>
      <c r="X168" s="426"/>
      <c r="Y168" s="426"/>
      <c r="Z168" s="426"/>
      <c r="AA168" s="426"/>
      <c r="AB168" s="426"/>
      <c r="AC168" s="426"/>
      <c r="AD168" s="161">
        <f t="shared" si="6"/>
        <v>0</v>
      </c>
      <c r="AE168" s="602"/>
      <c r="AF168" s="160">
        <f t="shared" si="5"/>
        <v>0</v>
      </c>
      <c r="AG168" s="627"/>
      <c r="AP168" s="377"/>
      <c r="AQ168" s="377"/>
      <c r="AR168" s="377"/>
      <c r="AS168" s="377"/>
      <c r="AT168" s="377"/>
      <c r="AU168" s="377"/>
      <c r="AV168" s="377"/>
      <c r="AW168" s="377"/>
      <c r="AX168" s="377"/>
      <c r="AY168" s="377"/>
      <c r="AZ168" s="377"/>
      <c r="BA168" s="377"/>
      <c r="BB168" s="377"/>
      <c r="BC168" s="377"/>
      <c r="BD168" s="377"/>
      <c r="BE168" s="377"/>
      <c r="BF168" s="377"/>
      <c r="BG168" s="377"/>
      <c r="BH168" s="377"/>
    </row>
    <row r="169" spans="1:60" s="3" customFormat="1" ht="14.25" x14ac:dyDescent="0.2">
      <c r="A169" s="423"/>
      <c r="B169" s="423"/>
      <c r="C169" s="424"/>
      <c r="D169" s="424"/>
      <c r="E169" s="424"/>
      <c r="F169" s="424"/>
      <c r="G169" s="424"/>
      <c r="H169" s="424"/>
      <c r="I169" s="424"/>
      <c r="J169" s="424"/>
      <c r="K169" s="424"/>
      <c r="L169" s="424"/>
      <c r="M169" s="424"/>
      <c r="N169" s="424"/>
      <c r="O169" s="424"/>
      <c r="P169" s="424"/>
      <c r="Q169" s="424"/>
      <c r="R169" s="424"/>
      <c r="S169" s="424"/>
      <c r="T169" s="424"/>
      <c r="U169" s="424"/>
      <c r="V169" s="424"/>
      <c r="W169" s="424"/>
      <c r="X169" s="424"/>
      <c r="Y169" s="424"/>
      <c r="Z169" s="424"/>
      <c r="AA169" s="424"/>
      <c r="AB169" s="424"/>
      <c r="AC169" s="424"/>
      <c r="AD169" s="123">
        <f t="shared" si="6"/>
        <v>0</v>
      </c>
      <c r="AE169" s="603"/>
      <c r="AF169" s="113">
        <f t="shared" si="5"/>
        <v>0</v>
      </c>
      <c r="AG169" s="465"/>
      <c r="AP169" s="377"/>
      <c r="AQ169" s="377"/>
      <c r="AR169" s="377"/>
      <c r="AS169" s="377"/>
      <c r="AT169" s="377"/>
      <c r="AU169" s="377"/>
      <c r="AV169" s="377"/>
      <c r="AW169" s="377"/>
      <c r="AX169" s="377"/>
      <c r="AY169" s="377"/>
      <c r="AZ169" s="377"/>
      <c r="BA169" s="377"/>
      <c r="BB169" s="377"/>
      <c r="BC169" s="377"/>
      <c r="BD169" s="377"/>
      <c r="BE169" s="377"/>
      <c r="BF169" s="377"/>
      <c r="BG169" s="377"/>
      <c r="BH169" s="377"/>
    </row>
    <row r="170" spans="1:60" s="3" customFormat="1" ht="14.25" x14ac:dyDescent="0.2">
      <c r="A170" s="425"/>
      <c r="B170" s="425"/>
      <c r="C170" s="426"/>
      <c r="D170" s="426"/>
      <c r="E170" s="426"/>
      <c r="F170" s="426"/>
      <c r="G170" s="426"/>
      <c r="H170" s="426"/>
      <c r="I170" s="426"/>
      <c r="J170" s="426"/>
      <c r="K170" s="426"/>
      <c r="L170" s="426"/>
      <c r="M170" s="426"/>
      <c r="N170" s="426"/>
      <c r="O170" s="426"/>
      <c r="P170" s="426"/>
      <c r="Q170" s="426"/>
      <c r="R170" s="426"/>
      <c r="S170" s="426"/>
      <c r="T170" s="426"/>
      <c r="U170" s="426"/>
      <c r="V170" s="426"/>
      <c r="W170" s="426"/>
      <c r="X170" s="426"/>
      <c r="Y170" s="426"/>
      <c r="Z170" s="426"/>
      <c r="AA170" s="426"/>
      <c r="AB170" s="426"/>
      <c r="AC170" s="426"/>
      <c r="AD170" s="161">
        <f t="shared" si="6"/>
        <v>0</v>
      </c>
      <c r="AE170" s="602"/>
      <c r="AF170" s="160">
        <f t="shared" si="5"/>
        <v>0</v>
      </c>
      <c r="AG170" s="627"/>
      <c r="AP170" s="377"/>
      <c r="AQ170" s="377"/>
      <c r="AR170" s="377"/>
      <c r="AS170" s="377"/>
      <c r="AT170" s="377"/>
      <c r="AU170" s="377"/>
      <c r="AV170" s="377"/>
      <c r="AW170" s="377"/>
      <c r="AX170" s="377"/>
      <c r="AY170" s="377"/>
      <c r="AZ170" s="377"/>
      <c r="BA170" s="377"/>
      <c r="BB170" s="377"/>
      <c r="BC170" s="377"/>
      <c r="BD170" s="377"/>
      <c r="BE170" s="377"/>
      <c r="BF170" s="377"/>
      <c r="BG170" s="377"/>
      <c r="BH170" s="377"/>
    </row>
    <row r="171" spans="1:60" s="3" customFormat="1" ht="14.25" x14ac:dyDescent="0.2">
      <c r="A171" s="423"/>
      <c r="B171" s="423"/>
      <c r="C171" s="424"/>
      <c r="D171" s="424"/>
      <c r="E171" s="424"/>
      <c r="F171" s="424"/>
      <c r="G171" s="424"/>
      <c r="H171" s="424"/>
      <c r="I171" s="424"/>
      <c r="J171" s="424"/>
      <c r="K171" s="424"/>
      <c r="L171" s="424"/>
      <c r="M171" s="424"/>
      <c r="N171" s="424"/>
      <c r="O171" s="424"/>
      <c r="P171" s="424"/>
      <c r="Q171" s="424"/>
      <c r="R171" s="424"/>
      <c r="S171" s="424"/>
      <c r="T171" s="424"/>
      <c r="U171" s="424"/>
      <c r="V171" s="424"/>
      <c r="W171" s="424"/>
      <c r="X171" s="424"/>
      <c r="Y171" s="424"/>
      <c r="Z171" s="424"/>
      <c r="AA171" s="424"/>
      <c r="AB171" s="424"/>
      <c r="AC171" s="424"/>
      <c r="AD171" s="123">
        <f t="shared" si="6"/>
        <v>0</v>
      </c>
      <c r="AE171" s="603"/>
      <c r="AF171" s="113">
        <f t="shared" si="5"/>
        <v>0</v>
      </c>
      <c r="AG171" s="465"/>
      <c r="AP171" s="377"/>
      <c r="AQ171" s="377"/>
      <c r="AR171" s="377"/>
      <c r="AS171" s="377"/>
      <c r="AT171" s="377"/>
      <c r="AU171" s="377"/>
      <c r="AV171" s="377"/>
      <c r="AW171" s="377"/>
      <c r="AX171" s="377"/>
      <c r="AY171" s="377"/>
      <c r="AZ171" s="377"/>
      <c r="BA171" s="377"/>
      <c r="BB171" s="377"/>
      <c r="BC171" s="377"/>
      <c r="BD171" s="377"/>
      <c r="BE171" s="377"/>
      <c r="BF171" s="377"/>
      <c r="BG171" s="377"/>
      <c r="BH171" s="377"/>
    </row>
    <row r="172" spans="1:60" s="3" customFormat="1" ht="14.25" x14ac:dyDescent="0.2">
      <c r="A172" s="425"/>
      <c r="B172" s="425"/>
      <c r="C172" s="426"/>
      <c r="D172" s="426"/>
      <c r="E172" s="426"/>
      <c r="F172" s="426"/>
      <c r="G172" s="426"/>
      <c r="H172" s="426"/>
      <c r="I172" s="426"/>
      <c r="J172" s="426"/>
      <c r="K172" s="426"/>
      <c r="L172" s="426"/>
      <c r="M172" s="426"/>
      <c r="N172" s="426"/>
      <c r="O172" s="426"/>
      <c r="P172" s="426"/>
      <c r="Q172" s="426"/>
      <c r="R172" s="426"/>
      <c r="S172" s="426"/>
      <c r="T172" s="426"/>
      <c r="U172" s="426"/>
      <c r="V172" s="426"/>
      <c r="W172" s="426"/>
      <c r="X172" s="426"/>
      <c r="Y172" s="426"/>
      <c r="Z172" s="426"/>
      <c r="AA172" s="426"/>
      <c r="AB172" s="426"/>
      <c r="AC172" s="426"/>
      <c r="AD172" s="161">
        <f t="shared" si="6"/>
        <v>0</v>
      </c>
      <c r="AE172" s="602"/>
      <c r="AF172" s="160">
        <f t="shared" si="5"/>
        <v>0</v>
      </c>
      <c r="AG172" s="627"/>
      <c r="AP172" s="377"/>
      <c r="AQ172" s="377"/>
      <c r="AR172" s="377"/>
      <c r="AS172" s="377"/>
      <c r="AT172" s="377"/>
      <c r="AU172" s="377"/>
      <c r="AV172" s="377"/>
      <c r="AW172" s="377"/>
      <c r="AX172" s="377"/>
      <c r="AY172" s="377"/>
      <c r="AZ172" s="377"/>
      <c r="BA172" s="377"/>
      <c r="BB172" s="377"/>
      <c r="BC172" s="377"/>
      <c r="BD172" s="377"/>
      <c r="BE172" s="377"/>
      <c r="BF172" s="377"/>
      <c r="BG172" s="377"/>
      <c r="BH172" s="377"/>
    </row>
    <row r="173" spans="1:60" s="3" customFormat="1" ht="14.25" x14ac:dyDescent="0.2">
      <c r="A173" s="423"/>
      <c r="B173" s="423"/>
      <c r="C173" s="424"/>
      <c r="D173" s="424"/>
      <c r="E173" s="424"/>
      <c r="F173" s="424"/>
      <c r="G173" s="424"/>
      <c r="H173" s="424"/>
      <c r="I173" s="424"/>
      <c r="J173" s="424"/>
      <c r="K173" s="424"/>
      <c r="L173" s="424"/>
      <c r="M173" s="424"/>
      <c r="N173" s="424"/>
      <c r="O173" s="424"/>
      <c r="P173" s="424"/>
      <c r="Q173" s="424"/>
      <c r="R173" s="424"/>
      <c r="S173" s="424"/>
      <c r="T173" s="424"/>
      <c r="U173" s="424"/>
      <c r="V173" s="424"/>
      <c r="W173" s="424"/>
      <c r="X173" s="424"/>
      <c r="Y173" s="424"/>
      <c r="Z173" s="424"/>
      <c r="AA173" s="424"/>
      <c r="AB173" s="424"/>
      <c r="AC173" s="424"/>
      <c r="AD173" s="123">
        <f t="shared" si="6"/>
        <v>0</v>
      </c>
      <c r="AE173" s="603"/>
      <c r="AF173" s="113">
        <f t="shared" si="5"/>
        <v>0</v>
      </c>
      <c r="AG173" s="465"/>
      <c r="AP173" s="377"/>
      <c r="AQ173" s="377"/>
      <c r="AR173" s="377"/>
      <c r="AS173" s="377"/>
      <c r="AT173" s="377"/>
      <c r="AU173" s="377"/>
      <c r="AV173" s="377"/>
      <c r="AW173" s="377"/>
      <c r="AX173" s="377"/>
      <c r="AY173" s="377"/>
      <c r="AZ173" s="377"/>
      <c r="BA173" s="377"/>
      <c r="BB173" s="377"/>
      <c r="BC173" s="377"/>
      <c r="BD173" s="377"/>
      <c r="BE173" s="377"/>
      <c r="BF173" s="377"/>
      <c r="BG173" s="377"/>
      <c r="BH173" s="377"/>
    </row>
    <row r="174" spans="1:60" s="3" customFormat="1" ht="14.25" x14ac:dyDescent="0.2">
      <c r="A174" s="425"/>
      <c r="B174" s="425"/>
      <c r="C174" s="426"/>
      <c r="D174" s="426"/>
      <c r="E174" s="426"/>
      <c r="F174" s="426"/>
      <c r="G174" s="426"/>
      <c r="H174" s="426"/>
      <c r="I174" s="426"/>
      <c r="J174" s="426"/>
      <c r="K174" s="426"/>
      <c r="L174" s="426"/>
      <c r="M174" s="426"/>
      <c r="N174" s="426"/>
      <c r="O174" s="426"/>
      <c r="P174" s="426"/>
      <c r="Q174" s="426"/>
      <c r="R174" s="426"/>
      <c r="S174" s="426"/>
      <c r="T174" s="426"/>
      <c r="U174" s="426"/>
      <c r="V174" s="426"/>
      <c r="W174" s="426"/>
      <c r="X174" s="426"/>
      <c r="Y174" s="426"/>
      <c r="Z174" s="426"/>
      <c r="AA174" s="426"/>
      <c r="AB174" s="426"/>
      <c r="AC174" s="426"/>
      <c r="AD174" s="161">
        <f t="shared" si="6"/>
        <v>0</v>
      </c>
      <c r="AE174" s="602"/>
      <c r="AF174" s="160">
        <f t="shared" si="5"/>
        <v>0</v>
      </c>
      <c r="AG174" s="627"/>
      <c r="AP174" s="377"/>
      <c r="AQ174" s="377"/>
      <c r="AR174" s="377"/>
      <c r="AS174" s="377"/>
      <c r="AT174" s="377"/>
      <c r="AU174" s="377"/>
      <c r="AV174" s="377"/>
      <c r="AW174" s="377"/>
      <c r="AX174" s="377"/>
      <c r="AY174" s="377"/>
      <c r="AZ174" s="377"/>
      <c r="BA174" s="377"/>
      <c r="BB174" s="377"/>
      <c r="BC174" s="377"/>
      <c r="BD174" s="377"/>
      <c r="BE174" s="377"/>
      <c r="BF174" s="377"/>
      <c r="BG174" s="377"/>
      <c r="BH174" s="377"/>
    </row>
    <row r="175" spans="1:60" s="3" customFormat="1" ht="14.25" x14ac:dyDescent="0.2">
      <c r="A175" s="423"/>
      <c r="B175" s="423"/>
      <c r="C175" s="424"/>
      <c r="D175" s="424"/>
      <c r="E175" s="424"/>
      <c r="F175" s="424"/>
      <c r="G175" s="424"/>
      <c r="H175" s="424"/>
      <c r="I175" s="424"/>
      <c r="J175" s="424"/>
      <c r="K175" s="424"/>
      <c r="L175" s="424"/>
      <c r="M175" s="424"/>
      <c r="N175" s="424"/>
      <c r="O175" s="424"/>
      <c r="P175" s="424"/>
      <c r="Q175" s="424"/>
      <c r="R175" s="424"/>
      <c r="S175" s="424"/>
      <c r="T175" s="424"/>
      <c r="U175" s="424"/>
      <c r="V175" s="424"/>
      <c r="W175" s="424"/>
      <c r="X175" s="424"/>
      <c r="Y175" s="424"/>
      <c r="Z175" s="424"/>
      <c r="AA175" s="424"/>
      <c r="AB175" s="424"/>
      <c r="AC175" s="424"/>
      <c r="AD175" s="123">
        <f t="shared" si="6"/>
        <v>0</v>
      </c>
      <c r="AE175" s="603"/>
      <c r="AF175" s="113">
        <f t="shared" si="5"/>
        <v>0</v>
      </c>
      <c r="AG175" s="465"/>
      <c r="AP175" s="377"/>
      <c r="AQ175" s="377"/>
      <c r="AR175" s="377"/>
      <c r="AS175" s="377"/>
      <c r="AT175" s="377"/>
      <c r="AU175" s="377"/>
      <c r="AV175" s="377"/>
      <c r="AW175" s="377"/>
      <c r="AX175" s="377"/>
      <c r="AY175" s="377"/>
      <c r="AZ175" s="377"/>
      <c r="BA175" s="377"/>
      <c r="BB175" s="377"/>
      <c r="BC175" s="377"/>
      <c r="BD175" s="377"/>
      <c r="BE175" s="377"/>
      <c r="BF175" s="377"/>
      <c r="BG175" s="377"/>
      <c r="BH175" s="377"/>
    </row>
    <row r="176" spans="1:60" s="3" customFormat="1" ht="14.25" x14ac:dyDescent="0.2">
      <c r="A176" s="425"/>
      <c r="B176" s="425"/>
      <c r="C176" s="426"/>
      <c r="D176" s="426"/>
      <c r="E176" s="426"/>
      <c r="F176" s="426"/>
      <c r="G176" s="426"/>
      <c r="H176" s="426"/>
      <c r="I176" s="426"/>
      <c r="J176" s="426"/>
      <c r="K176" s="426"/>
      <c r="L176" s="426"/>
      <c r="M176" s="426"/>
      <c r="N176" s="426"/>
      <c r="O176" s="426"/>
      <c r="P176" s="426"/>
      <c r="Q176" s="426"/>
      <c r="R176" s="426"/>
      <c r="S176" s="426"/>
      <c r="T176" s="426"/>
      <c r="U176" s="426"/>
      <c r="V176" s="426"/>
      <c r="W176" s="426"/>
      <c r="X176" s="426"/>
      <c r="Y176" s="426"/>
      <c r="Z176" s="426"/>
      <c r="AA176" s="426"/>
      <c r="AB176" s="426"/>
      <c r="AC176" s="426"/>
      <c r="AD176" s="161">
        <f t="shared" si="6"/>
        <v>0</v>
      </c>
      <c r="AE176" s="602"/>
      <c r="AF176" s="160">
        <f t="shared" si="5"/>
        <v>0</v>
      </c>
      <c r="AG176" s="627"/>
      <c r="AP176" s="377"/>
      <c r="AQ176" s="377"/>
      <c r="AR176" s="377"/>
      <c r="AS176" s="377"/>
      <c r="AT176" s="377"/>
      <c r="AU176" s="377"/>
      <c r="AV176" s="377"/>
      <c r="AW176" s="377"/>
      <c r="AX176" s="377"/>
      <c r="AY176" s="377"/>
      <c r="AZ176" s="377"/>
      <c r="BA176" s="377"/>
      <c r="BB176" s="377"/>
      <c r="BC176" s="377"/>
      <c r="BD176" s="377"/>
      <c r="BE176" s="377"/>
      <c r="BF176" s="377"/>
      <c r="BG176" s="377"/>
      <c r="BH176" s="377"/>
    </row>
    <row r="177" spans="1:60" s="3" customFormat="1" ht="14.25" x14ac:dyDescent="0.2">
      <c r="A177" s="423"/>
      <c r="B177" s="423"/>
      <c r="C177" s="424"/>
      <c r="D177" s="424"/>
      <c r="E177" s="424"/>
      <c r="F177" s="424"/>
      <c r="G177" s="424"/>
      <c r="H177" s="424"/>
      <c r="I177" s="424"/>
      <c r="J177" s="424"/>
      <c r="K177" s="424"/>
      <c r="L177" s="424"/>
      <c r="M177" s="424"/>
      <c r="N177" s="424"/>
      <c r="O177" s="424"/>
      <c r="P177" s="424"/>
      <c r="Q177" s="424"/>
      <c r="R177" s="424"/>
      <c r="S177" s="424"/>
      <c r="T177" s="424"/>
      <c r="U177" s="424"/>
      <c r="V177" s="424"/>
      <c r="W177" s="424"/>
      <c r="X177" s="424"/>
      <c r="Y177" s="424"/>
      <c r="Z177" s="424"/>
      <c r="AA177" s="424"/>
      <c r="AB177" s="424"/>
      <c r="AC177" s="424"/>
      <c r="AD177" s="123">
        <f t="shared" si="6"/>
        <v>0</v>
      </c>
      <c r="AE177" s="603"/>
      <c r="AF177" s="113">
        <f t="shared" si="5"/>
        <v>0</v>
      </c>
      <c r="AG177" s="465"/>
      <c r="AP177" s="377"/>
      <c r="AQ177" s="377"/>
      <c r="AR177" s="377"/>
      <c r="AS177" s="377"/>
      <c r="AT177" s="377"/>
      <c r="AU177" s="377"/>
      <c r="AV177" s="377"/>
      <c r="AW177" s="377"/>
      <c r="AX177" s="377"/>
      <c r="AY177" s="377"/>
      <c r="AZ177" s="377"/>
      <c r="BA177" s="377"/>
      <c r="BB177" s="377"/>
      <c r="BC177" s="377"/>
      <c r="BD177" s="377"/>
      <c r="BE177" s="377"/>
      <c r="BF177" s="377"/>
      <c r="BG177" s="377"/>
      <c r="BH177" s="377"/>
    </row>
    <row r="178" spans="1:60" s="3" customFormat="1" ht="14.25" x14ac:dyDescent="0.2">
      <c r="A178" s="425"/>
      <c r="B178" s="425"/>
      <c r="C178" s="426"/>
      <c r="D178" s="426"/>
      <c r="E178" s="426"/>
      <c r="F178" s="426"/>
      <c r="G178" s="426"/>
      <c r="H178" s="426"/>
      <c r="I178" s="426"/>
      <c r="J178" s="426"/>
      <c r="K178" s="426"/>
      <c r="L178" s="426"/>
      <c r="M178" s="426"/>
      <c r="N178" s="426"/>
      <c r="O178" s="426"/>
      <c r="P178" s="426"/>
      <c r="Q178" s="426"/>
      <c r="R178" s="426"/>
      <c r="S178" s="426"/>
      <c r="T178" s="426"/>
      <c r="U178" s="426"/>
      <c r="V178" s="426"/>
      <c r="W178" s="426"/>
      <c r="X178" s="426"/>
      <c r="Y178" s="426"/>
      <c r="Z178" s="426"/>
      <c r="AA178" s="426"/>
      <c r="AB178" s="426"/>
      <c r="AC178" s="426"/>
      <c r="AD178" s="161">
        <f t="shared" si="6"/>
        <v>0</v>
      </c>
      <c r="AE178" s="602"/>
      <c r="AF178" s="160">
        <f t="shared" si="5"/>
        <v>0</v>
      </c>
      <c r="AG178" s="627"/>
      <c r="AP178" s="377"/>
      <c r="AQ178" s="377"/>
      <c r="AR178" s="377"/>
      <c r="AS178" s="377"/>
      <c r="AT178" s="377"/>
      <c r="AU178" s="377"/>
      <c r="AV178" s="377"/>
      <c r="AW178" s="377"/>
      <c r="AX178" s="377"/>
      <c r="AY178" s="377"/>
      <c r="AZ178" s="377"/>
      <c r="BA178" s="377"/>
      <c r="BB178" s="377"/>
      <c r="BC178" s="377"/>
      <c r="BD178" s="377"/>
      <c r="BE178" s="377"/>
      <c r="BF178" s="377"/>
      <c r="BG178" s="377"/>
      <c r="BH178" s="377"/>
    </row>
    <row r="179" spans="1:60" s="3" customFormat="1" ht="14.25" x14ac:dyDescent="0.2">
      <c r="A179" s="423"/>
      <c r="B179" s="423"/>
      <c r="C179" s="424"/>
      <c r="D179" s="424"/>
      <c r="E179" s="424"/>
      <c r="F179" s="424"/>
      <c r="G179" s="424"/>
      <c r="H179" s="424"/>
      <c r="I179" s="424"/>
      <c r="J179" s="424"/>
      <c r="K179" s="424"/>
      <c r="L179" s="424"/>
      <c r="M179" s="424"/>
      <c r="N179" s="424"/>
      <c r="O179" s="424"/>
      <c r="P179" s="424"/>
      <c r="Q179" s="424"/>
      <c r="R179" s="424"/>
      <c r="S179" s="424"/>
      <c r="T179" s="424"/>
      <c r="U179" s="424"/>
      <c r="V179" s="424"/>
      <c r="W179" s="424"/>
      <c r="X179" s="424"/>
      <c r="Y179" s="424"/>
      <c r="Z179" s="424"/>
      <c r="AA179" s="424"/>
      <c r="AB179" s="424"/>
      <c r="AC179" s="424"/>
      <c r="AD179" s="123">
        <f t="shared" si="6"/>
        <v>0</v>
      </c>
      <c r="AE179" s="603"/>
      <c r="AF179" s="113">
        <f t="shared" si="5"/>
        <v>0</v>
      </c>
      <c r="AG179" s="465"/>
      <c r="AP179" s="377"/>
      <c r="AQ179" s="377"/>
      <c r="AR179" s="377"/>
      <c r="AS179" s="377"/>
      <c r="AT179" s="377"/>
      <c r="AU179" s="377"/>
      <c r="AV179" s="377"/>
      <c r="AW179" s="377"/>
      <c r="AX179" s="377"/>
      <c r="AY179" s="377"/>
      <c r="AZ179" s="377"/>
      <c r="BA179" s="377"/>
      <c r="BB179" s="377"/>
      <c r="BC179" s="377"/>
      <c r="BD179" s="377"/>
      <c r="BE179" s="377"/>
      <c r="BF179" s="377"/>
      <c r="BG179" s="377"/>
      <c r="BH179" s="377"/>
    </row>
    <row r="180" spans="1:60" s="3" customFormat="1" ht="14.25" x14ac:dyDescent="0.2">
      <c r="A180" s="425"/>
      <c r="B180" s="425"/>
      <c r="C180" s="426"/>
      <c r="D180" s="426"/>
      <c r="E180" s="426"/>
      <c r="F180" s="426"/>
      <c r="G180" s="426"/>
      <c r="H180" s="426"/>
      <c r="I180" s="426"/>
      <c r="J180" s="426"/>
      <c r="K180" s="426"/>
      <c r="L180" s="426"/>
      <c r="M180" s="426"/>
      <c r="N180" s="426"/>
      <c r="O180" s="426"/>
      <c r="P180" s="426"/>
      <c r="Q180" s="426"/>
      <c r="R180" s="426"/>
      <c r="S180" s="426"/>
      <c r="T180" s="426"/>
      <c r="U180" s="426"/>
      <c r="V180" s="426"/>
      <c r="W180" s="426"/>
      <c r="X180" s="426"/>
      <c r="Y180" s="426"/>
      <c r="Z180" s="426"/>
      <c r="AA180" s="426"/>
      <c r="AB180" s="426"/>
      <c r="AC180" s="426"/>
      <c r="AD180" s="161">
        <f t="shared" si="6"/>
        <v>0</v>
      </c>
      <c r="AE180" s="602"/>
      <c r="AF180" s="160">
        <f t="shared" si="5"/>
        <v>0</v>
      </c>
      <c r="AG180" s="627"/>
      <c r="AP180" s="377"/>
      <c r="AQ180" s="377"/>
      <c r="AR180" s="377"/>
      <c r="AS180" s="377"/>
      <c r="AT180" s="377"/>
      <c r="AU180" s="377"/>
      <c r="AV180" s="377"/>
      <c r="AW180" s="377"/>
      <c r="AX180" s="377"/>
      <c r="AY180" s="377"/>
      <c r="AZ180" s="377"/>
      <c r="BA180" s="377"/>
      <c r="BB180" s="377"/>
      <c r="BC180" s="377"/>
      <c r="BD180" s="377"/>
      <c r="BE180" s="377"/>
      <c r="BF180" s="377"/>
      <c r="BG180" s="377"/>
      <c r="BH180" s="377"/>
    </row>
    <row r="181" spans="1:60" s="3" customFormat="1" ht="14.25" x14ac:dyDescent="0.2">
      <c r="A181" s="423"/>
      <c r="B181" s="423"/>
      <c r="C181" s="424"/>
      <c r="D181" s="424"/>
      <c r="E181" s="424"/>
      <c r="F181" s="424"/>
      <c r="G181" s="424"/>
      <c r="H181" s="424"/>
      <c r="I181" s="424"/>
      <c r="J181" s="424"/>
      <c r="K181" s="424"/>
      <c r="L181" s="424"/>
      <c r="M181" s="424"/>
      <c r="N181" s="424"/>
      <c r="O181" s="424"/>
      <c r="P181" s="424"/>
      <c r="Q181" s="424"/>
      <c r="R181" s="424"/>
      <c r="S181" s="424"/>
      <c r="T181" s="424"/>
      <c r="U181" s="424"/>
      <c r="V181" s="424"/>
      <c r="W181" s="424"/>
      <c r="X181" s="424"/>
      <c r="Y181" s="424"/>
      <c r="Z181" s="424"/>
      <c r="AA181" s="424"/>
      <c r="AB181" s="424"/>
      <c r="AC181" s="424"/>
      <c r="AD181" s="123">
        <f t="shared" si="6"/>
        <v>0</v>
      </c>
      <c r="AE181" s="603"/>
      <c r="AF181" s="113">
        <f t="shared" si="5"/>
        <v>0</v>
      </c>
      <c r="AG181" s="465"/>
      <c r="AP181" s="377"/>
      <c r="AQ181" s="377"/>
      <c r="AR181" s="377"/>
      <c r="AS181" s="377"/>
      <c r="AT181" s="377"/>
      <c r="AU181" s="377"/>
      <c r="AV181" s="377"/>
      <c r="AW181" s="377"/>
      <c r="AX181" s="377"/>
      <c r="AY181" s="377"/>
      <c r="AZ181" s="377"/>
      <c r="BA181" s="377"/>
      <c r="BB181" s="377"/>
      <c r="BC181" s="377"/>
      <c r="BD181" s="377"/>
      <c r="BE181" s="377"/>
      <c r="BF181" s="377"/>
      <c r="BG181" s="377"/>
      <c r="BH181" s="377"/>
    </row>
    <row r="182" spans="1:60" s="3" customFormat="1" ht="14.25" x14ac:dyDescent="0.2">
      <c r="A182" s="425"/>
      <c r="B182" s="425"/>
      <c r="C182" s="426"/>
      <c r="D182" s="426"/>
      <c r="E182" s="426"/>
      <c r="F182" s="426"/>
      <c r="G182" s="426"/>
      <c r="H182" s="426"/>
      <c r="I182" s="426"/>
      <c r="J182" s="426"/>
      <c r="K182" s="426"/>
      <c r="L182" s="426"/>
      <c r="M182" s="426"/>
      <c r="N182" s="426"/>
      <c r="O182" s="426"/>
      <c r="P182" s="426"/>
      <c r="Q182" s="426"/>
      <c r="R182" s="426"/>
      <c r="S182" s="426"/>
      <c r="T182" s="426"/>
      <c r="U182" s="426"/>
      <c r="V182" s="426"/>
      <c r="W182" s="426"/>
      <c r="X182" s="426"/>
      <c r="Y182" s="426"/>
      <c r="Z182" s="426"/>
      <c r="AA182" s="426"/>
      <c r="AB182" s="426"/>
      <c r="AC182" s="426"/>
      <c r="AD182" s="161">
        <f t="shared" si="6"/>
        <v>0</v>
      </c>
      <c r="AE182" s="602"/>
      <c r="AF182" s="160">
        <f t="shared" si="5"/>
        <v>0</v>
      </c>
      <c r="AG182" s="627"/>
      <c r="AP182" s="377"/>
      <c r="AQ182" s="377"/>
      <c r="AR182" s="377"/>
      <c r="AS182" s="377"/>
      <c r="AT182" s="377"/>
      <c r="AU182" s="377"/>
      <c r="AV182" s="377"/>
      <c r="AW182" s="377"/>
      <c r="AX182" s="377"/>
      <c r="AY182" s="377"/>
      <c r="AZ182" s="377"/>
      <c r="BA182" s="377"/>
      <c r="BB182" s="377"/>
      <c r="BC182" s="377"/>
      <c r="BD182" s="377"/>
      <c r="BE182" s="377"/>
      <c r="BF182" s="377"/>
      <c r="BG182" s="377"/>
      <c r="BH182" s="377"/>
    </row>
    <row r="183" spans="1:60" s="3" customFormat="1" ht="14.25" x14ac:dyDescent="0.2">
      <c r="A183" s="423"/>
      <c r="B183" s="423"/>
      <c r="C183" s="424"/>
      <c r="D183" s="424"/>
      <c r="E183" s="424"/>
      <c r="F183" s="424"/>
      <c r="G183" s="424"/>
      <c r="H183" s="424"/>
      <c r="I183" s="424"/>
      <c r="J183" s="424"/>
      <c r="K183" s="424"/>
      <c r="L183" s="424"/>
      <c r="M183" s="424"/>
      <c r="N183" s="424"/>
      <c r="O183" s="424"/>
      <c r="P183" s="424"/>
      <c r="Q183" s="424"/>
      <c r="R183" s="424"/>
      <c r="S183" s="424"/>
      <c r="T183" s="424"/>
      <c r="U183" s="424"/>
      <c r="V183" s="424"/>
      <c r="W183" s="424"/>
      <c r="X183" s="424"/>
      <c r="Y183" s="424"/>
      <c r="Z183" s="424"/>
      <c r="AA183" s="424"/>
      <c r="AB183" s="424"/>
      <c r="AC183" s="424"/>
      <c r="AD183" s="123">
        <f t="shared" si="6"/>
        <v>0</v>
      </c>
      <c r="AE183" s="603"/>
      <c r="AF183" s="113">
        <f t="shared" si="5"/>
        <v>0</v>
      </c>
      <c r="AG183" s="465"/>
      <c r="AP183" s="377"/>
      <c r="AQ183" s="377"/>
      <c r="AR183" s="377"/>
      <c r="AS183" s="377"/>
      <c r="AT183" s="377"/>
      <c r="AU183" s="377"/>
      <c r="AV183" s="377"/>
      <c r="AW183" s="377"/>
      <c r="AX183" s="377"/>
      <c r="AY183" s="377"/>
      <c r="AZ183" s="377"/>
      <c r="BA183" s="377"/>
      <c r="BB183" s="377"/>
      <c r="BC183" s="377"/>
      <c r="BD183" s="377"/>
      <c r="BE183" s="377"/>
      <c r="BF183" s="377"/>
      <c r="BG183" s="377"/>
      <c r="BH183" s="377"/>
    </row>
    <row r="184" spans="1:60" s="3" customFormat="1" ht="14.25" x14ac:dyDescent="0.2">
      <c r="A184" s="425"/>
      <c r="B184" s="425"/>
      <c r="C184" s="426"/>
      <c r="D184" s="426"/>
      <c r="E184" s="426"/>
      <c r="F184" s="426"/>
      <c r="G184" s="426"/>
      <c r="H184" s="426"/>
      <c r="I184" s="426"/>
      <c r="J184" s="426"/>
      <c r="K184" s="426"/>
      <c r="L184" s="426"/>
      <c r="M184" s="426"/>
      <c r="N184" s="426"/>
      <c r="O184" s="426"/>
      <c r="P184" s="426"/>
      <c r="Q184" s="426"/>
      <c r="R184" s="426"/>
      <c r="S184" s="426"/>
      <c r="T184" s="426"/>
      <c r="U184" s="426"/>
      <c r="V184" s="426"/>
      <c r="W184" s="426"/>
      <c r="X184" s="426"/>
      <c r="Y184" s="426"/>
      <c r="Z184" s="426"/>
      <c r="AA184" s="426"/>
      <c r="AB184" s="426"/>
      <c r="AC184" s="426"/>
      <c r="AD184" s="161">
        <f t="shared" si="6"/>
        <v>0</v>
      </c>
      <c r="AE184" s="602"/>
      <c r="AF184" s="160">
        <f t="shared" si="5"/>
        <v>0</v>
      </c>
      <c r="AG184" s="627"/>
      <c r="AP184" s="377"/>
      <c r="AQ184" s="377"/>
      <c r="AR184" s="377"/>
      <c r="AS184" s="377"/>
      <c r="AT184" s="377"/>
      <c r="AU184" s="377"/>
      <c r="AV184" s="377"/>
      <c r="AW184" s="377"/>
      <c r="AX184" s="377"/>
      <c r="AY184" s="377"/>
      <c r="AZ184" s="377"/>
      <c r="BA184" s="377"/>
      <c r="BB184" s="377"/>
      <c r="BC184" s="377"/>
      <c r="BD184" s="377"/>
      <c r="BE184" s="377"/>
      <c r="BF184" s="377"/>
      <c r="BG184" s="377"/>
      <c r="BH184" s="377"/>
    </row>
    <row r="185" spans="1:60" s="3" customFormat="1" ht="14.25" x14ac:dyDescent="0.2">
      <c r="A185" s="423"/>
      <c r="B185" s="423"/>
      <c r="C185" s="424"/>
      <c r="D185" s="424"/>
      <c r="E185" s="424"/>
      <c r="F185" s="424"/>
      <c r="G185" s="424"/>
      <c r="H185" s="424"/>
      <c r="I185" s="424"/>
      <c r="J185" s="424"/>
      <c r="K185" s="424"/>
      <c r="L185" s="424"/>
      <c r="M185" s="424"/>
      <c r="N185" s="424"/>
      <c r="O185" s="424"/>
      <c r="P185" s="424"/>
      <c r="Q185" s="424"/>
      <c r="R185" s="424"/>
      <c r="S185" s="424"/>
      <c r="T185" s="424"/>
      <c r="U185" s="424"/>
      <c r="V185" s="424"/>
      <c r="W185" s="424"/>
      <c r="X185" s="424"/>
      <c r="Y185" s="424"/>
      <c r="Z185" s="424"/>
      <c r="AA185" s="424"/>
      <c r="AB185" s="424"/>
      <c r="AC185" s="424"/>
      <c r="AD185" s="123">
        <f t="shared" si="6"/>
        <v>0</v>
      </c>
      <c r="AE185" s="603"/>
      <c r="AF185" s="113">
        <f t="shared" si="5"/>
        <v>0</v>
      </c>
      <c r="AG185" s="465"/>
      <c r="AP185" s="377"/>
      <c r="AQ185" s="377"/>
      <c r="AR185" s="377"/>
      <c r="AS185" s="377"/>
      <c r="AT185" s="377"/>
      <c r="AU185" s="377"/>
      <c r="AV185" s="377"/>
      <c r="AW185" s="377"/>
      <c r="AX185" s="377"/>
      <c r="AY185" s="377"/>
      <c r="AZ185" s="377"/>
      <c r="BA185" s="377"/>
      <c r="BB185" s="377"/>
      <c r="BC185" s="377"/>
      <c r="BD185" s="377"/>
      <c r="BE185" s="377"/>
      <c r="BF185" s="377"/>
      <c r="BG185" s="377"/>
      <c r="BH185" s="377"/>
    </row>
    <row r="186" spans="1:60" s="3" customFormat="1" ht="14.25" x14ac:dyDescent="0.2">
      <c r="A186" s="425"/>
      <c r="B186" s="425"/>
      <c r="C186" s="426"/>
      <c r="D186" s="426"/>
      <c r="E186" s="426"/>
      <c r="F186" s="426"/>
      <c r="G186" s="426"/>
      <c r="H186" s="426"/>
      <c r="I186" s="426"/>
      <c r="J186" s="426"/>
      <c r="K186" s="426"/>
      <c r="L186" s="426"/>
      <c r="M186" s="426"/>
      <c r="N186" s="426"/>
      <c r="O186" s="426"/>
      <c r="P186" s="426"/>
      <c r="Q186" s="426"/>
      <c r="R186" s="426"/>
      <c r="S186" s="426"/>
      <c r="T186" s="426"/>
      <c r="U186" s="426"/>
      <c r="V186" s="426"/>
      <c r="W186" s="426"/>
      <c r="X186" s="426"/>
      <c r="Y186" s="426"/>
      <c r="Z186" s="426"/>
      <c r="AA186" s="426"/>
      <c r="AB186" s="426"/>
      <c r="AC186" s="426"/>
      <c r="AD186" s="161">
        <f t="shared" si="6"/>
        <v>0</v>
      </c>
      <c r="AE186" s="602"/>
      <c r="AF186" s="160">
        <f t="shared" si="5"/>
        <v>0</v>
      </c>
      <c r="AG186" s="627"/>
      <c r="AP186" s="377"/>
      <c r="AQ186" s="377"/>
      <c r="AR186" s="377"/>
      <c r="AS186" s="377"/>
      <c r="AT186" s="377"/>
      <c r="AU186" s="377"/>
      <c r="AV186" s="377"/>
      <c r="AW186" s="377"/>
      <c r="AX186" s="377"/>
      <c r="AY186" s="377"/>
      <c r="AZ186" s="377"/>
      <c r="BA186" s="377"/>
      <c r="BB186" s="377"/>
      <c r="BC186" s="377"/>
      <c r="BD186" s="377"/>
      <c r="BE186" s="377"/>
      <c r="BF186" s="377"/>
      <c r="BG186" s="377"/>
      <c r="BH186" s="377"/>
    </row>
    <row r="187" spans="1:60" s="3" customFormat="1" ht="14.25" x14ac:dyDescent="0.2">
      <c r="A187" s="423"/>
      <c r="B187" s="423"/>
      <c r="C187" s="424"/>
      <c r="D187" s="424"/>
      <c r="E187" s="424"/>
      <c r="F187" s="424"/>
      <c r="G187" s="424"/>
      <c r="H187" s="424"/>
      <c r="I187" s="424"/>
      <c r="J187" s="424"/>
      <c r="K187" s="424"/>
      <c r="L187" s="424"/>
      <c r="M187" s="424"/>
      <c r="N187" s="424"/>
      <c r="O187" s="424"/>
      <c r="P187" s="424"/>
      <c r="Q187" s="424"/>
      <c r="R187" s="424"/>
      <c r="S187" s="424"/>
      <c r="T187" s="424"/>
      <c r="U187" s="424"/>
      <c r="V187" s="424"/>
      <c r="W187" s="424"/>
      <c r="X187" s="424"/>
      <c r="Y187" s="424"/>
      <c r="Z187" s="424"/>
      <c r="AA187" s="424"/>
      <c r="AB187" s="424"/>
      <c r="AC187" s="424"/>
      <c r="AD187" s="123">
        <f t="shared" si="6"/>
        <v>0</v>
      </c>
      <c r="AE187" s="603"/>
      <c r="AF187" s="113">
        <f t="shared" si="5"/>
        <v>0</v>
      </c>
      <c r="AG187" s="465"/>
      <c r="AP187" s="377"/>
      <c r="AQ187" s="377"/>
      <c r="AR187" s="377"/>
      <c r="AS187" s="377"/>
      <c r="AT187" s="377"/>
      <c r="AU187" s="377"/>
      <c r="AV187" s="377"/>
      <c r="AW187" s="377"/>
      <c r="AX187" s="377"/>
      <c r="AY187" s="377"/>
      <c r="AZ187" s="377"/>
      <c r="BA187" s="377"/>
      <c r="BB187" s="377"/>
      <c r="BC187" s="377"/>
      <c r="BD187" s="377"/>
      <c r="BE187" s="377"/>
      <c r="BF187" s="377"/>
      <c r="BG187" s="377"/>
      <c r="BH187" s="377"/>
    </row>
    <row r="188" spans="1:60" s="3" customFormat="1" ht="14.25" x14ac:dyDescent="0.2">
      <c r="A188" s="425"/>
      <c r="B188" s="425"/>
      <c r="C188" s="426"/>
      <c r="D188" s="426"/>
      <c r="E188" s="426"/>
      <c r="F188" s="426"/>
      <c r="G188" s="426"/>
      <c r="H188" s="426"/>
      <c r="I188" s="426"/>
      <c r="J188" s="426"/>
      <c r="K188" s="426"/>
      <c r="L188" s="426"/>
      <c r="M188" s="426"/>
      <c r="N188" s="426"/>
      <c r="O188" s="426"/>
      <c r="P188" s="426"/>
      <c r="Q188" s="426"/>
      <c r="R188" s="426"/>
      <c r="S188" s="426"/>
      <c r="T188" s="426"/>
      <c r="U188" s="426"/>
      <c r="V188" s="426"/>
      <c r="W188" s="426"/>
      <c r="X188" s="426"/>
      <c r="Y188" s="426"/>
      <c r="Z188" s="426"/>
      <c r="AA188" s="426"/>
      <c r="AB188" s="426"/>
      <c r="AC188" s="426"/>
      <c r="AD188" s="161">
        <f t="shared" si="6"/>
        <v>0</v>
      </c>
      <c r="AE188" s="602"/>
      <c r="AF188" s="160">
        <f t="shared" si="5"/>
        <v>0</v>
      </c>
      <c r="AG188" s="627"/>
      <c r="AP188" s="377"/>
      <c r="AQ188" s="377"/>
      <c r="AR188" s="377"/>
      <c r="AS188" s="377"/>
      <c r="AT188" s="377"/>
      <c r="AU188" s="377"/>
      <c r="AV188" s="377"/>
      <c r="AW188" s="377"/>
      <c r="AX188" s="377"/>
      <c r="AY188" s="377"/>
      <c r="AZ188" s="377"/>
      <c r="BA188" s="377"/>
      <c r="BB188" s="377"/>
      <c r="BC188" s="377"/>
      <c r="BD188" s="377"/>
      <c r="BE188" s="377"/>
      <c r="BF188" s="377"/>
      <c r="BG188" s="377"/>
      <c r="BH188" s="377"/>
    </row>
    <row r="189" spans="1:60" s="3" customFormat="1" ht="14.25" x14ac:dyDescent="0.2">
      <c r="A189" s="423"/>
      <c r="B189" s="423"/>
      <c r="C189" s="424"/>
      <c r="D189" s="424"/>
      <c r="E189" s="424"/>
      <c r="F189" s="424"/>
      <c r="G189" s="424"/>
      <c r="H189" s="424"/>
      <c r="I189" s="424"/>
      <c r="J189" s="424"/>
      <c r="K189" s="424"/>
      <c r="L189" s="424"/>
      <c r="M189" s="424"/>
      <c r="N189" s="424"/>
      <c r="O189" s="424"/>
      <c r="P189" s="424"/>
      <c r="Q189" s="424"/>
      <c r="R189" s="424"/>
      <c r="S189" s="424"/>
      <c r="T189" s="424"/>
      <c r="U189" s="424"/>
      <c r="V189" s="424"/>
      <c r="W189" s="424"/>
      <c r="X189" s="424"/>
      <c r="Y189" s="424"/>
      <c r="Z189" s="424"/>
      <c r="AA189" s="424"/>
      <c r="AB189" s="424"/>
      <c r="AC189" s="424"/>
      <c r="AD189" s="123">
        <f t="shared" si="6"/>
        <v>0</v>
      </c>
      <c r="AE189" s="603"/>
      <c r="AF189" s="113">
        <f t="shared" si="5"/>
        <v>0</v>
      </c>
      <c r="AG189" s="465"/>
      <c r="AP189" s="377"/>
      <c r="AQ189" s="377"/>
      <c r="AR189" s="377"/>
      <c r="AS189" s="377"/>
      <c r="AT189" s="377"/>
      <c r="AU189" s="377"/>
      <c r="AV189" s="377"/>
      <c r="AW189" s="377"/>
      <c r="AX189" s="377"/>
      <c r="AY189" s="377"/>
      <c r="AZ189" s="377"/>
      <c r="BA189" s="377"/>
      <c r="BB189" s="377"/>
      <c r="BC189" s="377"/>
      <c r="BD189" s="377"/>
      <c r="BE189" s="377"/>
      <c r="BF189" s="377"/>
      <c r="BG189" s="377"/>
      <c r="BH189" s="377"/>
    </row>
    <row r="190" spans="1:60" s="3" customFormat="1" ht="14.25" x14ac:dyDescent="0.2">
      <c r="A190" s="425"/>
      <c r="B190" s="425"/>
      <c r="C190" s="426"/>
      <c r="D190" s="426"/>
      <c r="E190" s="426"/>
      <c r="F190" s="426"/>
      <c r="G190" s="426"/>
      <c r="H190" s="426"/>
      <c r="I190" s="426"/>
      <c r="J190" s="426"/>
      <c r="K190" s="426"/>
      <c r="L190" s="426"/>
      <c r="M190" s="426"/>
      <c r="N190" s="426"/>
      <c r="O190" s="426"/>
      <c r="P190" s="426"/>
      <c r="Q190" s="426"/>
      <c r="R190" s="426"/>
      <c r="S190" s="426"/>
      <c r="T190" s="426"/>
      <c r="U190" s="426"/>
      <c r="V190" s="426"/>
      <c r="W190" s="426"/>
      <c r="X190" s="426"/>
      <c r="Y190" s="426"/>
      <c r="Z190" s="426"/>
      <c r="AA190" s="426"/>
      <c r="AB190" s="426"/>
      <c r="AC190" s="426"/>
      <c r="AD190" s="161">
        <f t="shared" si="6"/>
        <v>0</v>
      </c>
      <c r="AE190" s="602"/>
      <c r="AF190" s="160">
        <f t="shared" si="5"/>
        <v>0</v>
      </c>
      <c r="AG190" s="627"/>
      <c r="AP190" s="377"/>
      <c r="AQ190" s="377"/>
      <c r="AR190" s="377"/>
      <c r="AS190" s="377"/>
      <c r="AT190" s="377"/>
      <c r="AU190" s="377"/>
      <c r="AV190" s="377"/>
      <c r="AW190" s="377"/>
      <c r="AX190" s="377"/>
      <c r="AY190" s="377"/>
      <c r="AZ190" s="377"/>
      <c r="BA190" s="377"/>
      <c r="BB190" s="377"/>
      <c r="BC190" s="377"/>
      <c r="BD190" s="377"/>
      <c r="BE190" s="377"/>
      <c r="BF190" s="377"/>
      <c r="BG190" s="377"/>
      <c r="BH190" s="377"/>
    </row>
    <row r="191" spans="1:60" s="3" customFormat="1" ht="14.25" x14ac:dyDescent="0.2">
      <c r="A191" s="423"/>
      <c r="B191" s="423"/>
      <c r="C191" s="424"/>
      <c r="D191" s="424"/>
      <c r="E191" s="424"/>
      <c r="F191" s="424"/>
      <c r="G191" s="424"/>
      <c r="H191" s="424"/>
      <c r="I191" s="424"/>
      <c r="J191" s="424"/>
      <c r="K191" s="424"/>
      <c r="L191" s="424"/>
      <c r="M191" s="424"/>
      <c r="N191" s="424"/>
      <c r="O191" s="424"/>
      <c r="P191" s="424"/>
      <c r="Q191" s="424"/>
      <c r="R191" s="424"/>
      <c r="S191" s="424"/>
      <c r="T191" s="424"/>
      <c r="U191" s="424"/>
      <c r="V191" s="424"/>
      <c r="W191" s="424"/>
      <c r="X191" s="424"/>
      <c r="Y191" s="424"/>
      <c r="Z191" s="424"/>
      <c r="AA191" s="424"/>
      <c r="AB191" s="424"/>
      <c r="AC191" s="424"/>
      <c r="AD191" s="123">
        <f t="shared" si="6"/>
        <v>0</v>
      </c>
      <c r="AE191" s="603"/>
      <c r="AF191" s="113">
        <f t="shared" si="5"/>
        <v>0</v>
      </c>
      <c r="AG191" s="465"/>
      <c r="AP191" s="377"/>
      <c r="AQ191" s="377"/>
      <c r="AR191" s="377"/>
      <c r="AS191" s="377"/>
      <c r="AT191" s="377"/>
      <c r="AU191" s="377"/>
      <c r="AV191" s="377"/>
      <c r="AW191" s="377"/>
      <c r="AX191" s="377"/>
      <c r="AY191" s="377"/>
      <c r="AZ191" s="377"/>
      <c r="BA191" s="377"/>
      <c r="BB191" s="377"/>
      <c r="BC191" s="377"/>
      <c r="BD191" s="377"/>
      <c r="BE191" s="377"/>
      <c r="BF191" s="377"/>
      <c r="BG191" s="377"/>
      <c r="BH191" s="377"/>
    </row>
    <row r="192" spans="1:60" s="3" customFormat="1" ht="14.25" x14ac:dyDescent="0.2">
      <c r="A192" s="425"/>
      <c r="B192" s="425"/>
      <c r="C192" s="426"/>
      <c r="D192" s="426"/>
      <c r="E192" s="426"/>
      <c r="F192" s="426"/>
      <c r="G192" s="426"/>
      <c r="H192" s="426"/>
      <c r="I192" s="426"/>
      <c r="J192" s="426"/>
      <c r="K192" s="426"/>
      <c r="L192" s="426"/>
      <c r="M192" s="426"/>
      <c r="N192" s="426"/>
      <c r="O192" s="426"/>
      <c r="P192" s="426"/>
      <c r="Q192" s="426"/>
      <c r="R192" s="426"/>
      <c r="S192" s="426"/>
      <c r="T192" s="426"/>
      <c r="U192" s="426"/>
      <c r="V192" s="426"/>
      <c r="W192" s="426"/>
      <c r="X192" s="426"/>
      <c r="Y192" s="426"/>
      <c r="Z192" s="426"/>
      <c r="AA192" s="426"/>
      <c r="AB192" s="426"/>
      <c r="AC192" s="426"/>
      <c r="AD192" s="161">
        <f t="shared" si="6"/>
        <v>0</v>
      </c>
      <c r="AE192" s="602"/>
      <c r="AF192" s="160">
        <f t="shared" si="5"/>
        <v>0</v>
      </c>
      <c r="AG192" s="627"/>
      <c r="AP192" s="377"/>
      <c r="AQ192" s="377"/>
      <c r="AR192" s="377"/>
      <c r="AS192" s="377"/>
      <c r="AT192" s="377"/>
      <c r="AU192" s="377"/>
      <c r="AV192" s="377"/>
      <c r="AW192" s="377"/>
      <c r="AX192" s="377"/>
      <c r="AY192" s="377"/>
      <c r="AZ192" s="377"/>
      <c r="BA192" s="377"/>
      <c r="BB192" s="377"/>
      <c r="BC192" s="377"/>
      <c r="BD192" s="377"/>
      <c r="BE192" s="377"/>
      <c r="BF192" s="377"/>
      <c r="BG192" s="377"/>
      <c r="BH192" s="377"/>
    </row>
    <row r="193" spans="1:60" s="3" customFormat="1" ht="14.25" x14ac:dyDescent="0.2">
      <c r="A193" s="423"/>
      <c r="B193" s="423"/>
      <c r="C193" s="424"/>
      <c r="D193" s="424"/>
      <c r="E193" s="424"/>
      <c r="F193" s="424"/>
      <c r="G193" s="424"/>
      <c r="H193" s="424"/>
      <c r="I193" s="424"/>
      <c r="J193" s="424"/>
      <c r="K193" s="424"/>
      <c r="L193" s="424"/>
      <c r="M193" s="424"/>
      <c r="N193" s="424"/>
      <c r="O193" s="424"/>
      <c r="P193" s="424"/>
      <c r="Q193" s="424"/>
      <c r="R193" s="424"/>
      <c r="S193" s="424"/>
      <c r="T193" s="424"/>
      <c r="U193" s="424"/>
      <c r="V193" s="424"/>
      <c r="W193" s="424"/>
      <c r="X193" s="424"/>
      <c r="Y193" s="424"/>
      <c r="Z193" s="424"/>
      <c r="AA193" s="424"/>
      <c r="AB193" s="424"/>
      <c r="AC193" s="424"/>
      <c r="AD193" s="123">
        <f t="shared" si="6"/>
        <v>0</v>
      </c>
      <c r="AE193" s="603"/>
      <c r="AF193" s="113">
        <f t="shared" si="5"/>
        <v>0</v>
      </c>
      <c r="AG193" s="465"/>
      <c r="AP193" s="377"/>
      <c r="AQ193" s="377"/>
      <c r="AR193" s="377"/>
      <c r="AS193" s="377"/>
      <c r="AT193" s="377"/>
      <c r="AU193" s="377"/>
      <c r="AV193" s="377"/>
      <c r="AW193" s="377"/>
      <c r="AX193" s="377"/>
      <c r="AY193" s="377"/>
      <c r="AZ193" s="377"/>
      <c r="BA193" s="377"/>
      <c r="BB193" s="377"/>
      <c r="BC193" s="377"/>
      <c r="BD193" s="377"/>
      <c r="BE193" s="377"/>
      <c r="BF193" s="377"/>
      <c r="BG193" s="377"/>
      <c r="BH193" s="377"/>
    </row>
    <row r="194" spans="1:60" s="3" customFormat="1" ht="14.25" x14ac:dyDescent="0.2">
      <c r="A194" s="425"/>
      <c r="B194" s="425"/>
      <c r="C194" s="426"/>
      <c r="D194" s="426"/>
      <c r="E194" s="426"/>
      <c r="F194" s="426"/>
      <c r="G194" s="426"/>
      <c r="H194" s="426"/>
      <c r="I194" s="426"/>
      <c r="J194" s="426"/>
      <c r="K194" s="426"/>
      <c r="L194" s="426"/>
      <c r="M194" s="426"/>
      <c r="N194" s="426"/>
      <c r="O194" s="426"/>
      <c r="P194" s="426"/>
      <c r="Q194" s="426"/>
      <c r="R194" s="426"/>
      <c r="S194" s="426"/>
      <c r="T194" s="426"/>
      <c r="U194" s="426"/>
      <c r="V194" s="426"/>
      <c r="W194" s="426"/>
      <c r="X194" s="426"/>
      <c r="Y194" s="426"/>
      <c r="Z194" s="426"/>
      <c r="AA194" s="426"/>
      <c r="AB194" s="426"/>
      <c r="AC194" s="426"/>
      <c r="AD194" s="161">
        <f t="shared" si="6"/>
        <v>0</v>
      </c>
      <c r="AE194" s="602"/>
      <c r="AF194" s="160">
        <f t="shared" si="5"/>
        <v>0</v>
      </c>
      <c r="AG194" s="627"/>
      <c r="AP194" s="377"/>
      <c r="AQ194" s="377"/>
      <c r="AR194" s="377"/>
      <c r="AS194" s="377"/>
      <c r="AT194" s="377"/>
      <c r="AU194" s="377"/>
      <c r="AV194" s="377"/>
      <c r="AW194" s="377"/>
      <c r="AX194" s="377"/>
      <c r="AY194" s="377"/>
      <c r="AZ194" s="377"/>
      <c r="BA194" s="377"/>
      <c r="BB194" s="377"/>
      <c r="BC194" s="377"/>
      <c r="BD194" s="377"/>
      <c r="BE194" s="377"/>
      <c r="BF194" s="377"/>
      <c r="BG194" s="377"/>
      <c r="BH194" s="377"/>
    </row>
    <row r="195" spans="1:60" s="3" customFormat="1" ht="14.25" x14ac:dyDescent="0.2">
      <c r="A195" s="423"/>
      <c r="B195" s="423"/>
      <c r="C195" s="424"/>
      <c r="D195" s="424"/>
      <c r="E195" s="424"/>
      <c r="F195" s="424"/>
      <c r="G195" s="424"/>
      <c r="H195" s="424"/>
      <c r="I195" s="424"/>
      <c r="J195" s="424"/>
      <c r="K195" s="424"/>
      <c r="L195" s="424"/>
      <c r="M195" s="424"/>
      <c r="N195" s="424"/>
      <c r="O195" s="424"/>
      <c r="P195" s="424"/>
      <c r="Q195" s="424"/>
      <c r="R195" s="424"/>
      <c r="S195" s="424"/>
      <c r="T195" s="424"/>
      <c r="U195" s="424"/>
      <c r="V195" s="424"/>
      <c r="W195" s="424"/>
      <c r="X195" s="424"/>
      <c r="Y195" s="424"/>
      <c r="Z195" s="424"/>
      <c r="AA195" s="424"/>
      <c r="AB195" s="424"/>
      <c r="AC195" s="424"/>
      <c r="AD195" s="123">
        <f t="shared" si="6"/>
        <v>0</v>
      </c>
      <c r="AE195" s="603"/>
      <c r="AF195" s="113">
        <f t="shared" si="5"/>
        <v>0</v>
      </c>
      <c r="AG195" s="465"/>
      <c r="AP195" s="377"/>
      <c r="AQ195" s="377"/>
      <c r="AR195" s="377"/>
      <c r="AS195" s="377"/>
      <c r="AT195" s="377"/>
      <c r="AU195" s="377"/>
      <c r="AV195" s="377"/>
      <c r="AW195" s="377"/>
      <c r="AX195" s="377"/>
      <c r="AY195" s="377"/>
      <c r="AZ195" s="377"/>
      <c r="BA195" s="377"/>
      <c r="BB195" s="377"/>
      <c r="BC195" s="377"/>
      <c r="BD195" s="377"/>
      <c r="BE195" s="377"/>
      <c r="BF195" s="377"/>
      <c r="BG195" s="377"/>
      <c r="BH195" s="377"/>
    </row>
    <row r="196" spans="1:60" s="3" customFormat="1" ht="14.25" x14ac:dyDescent="0.2">
      <c r="A196" s="425"/>
      <c r="B196" s="425"/>
      <c r="C196" s="426"/>
      <c r="D196" s="426"/>
      <c r="E196" s="426"/>
      <c r="F196" s="426"/>
      <c r="G196" s="426"/>
      <c r="H196" s="426"/>
      <c r="I196" s="426"/>
      <c r="J196" s="426"/>
      <c r="K196" s="426"/>
      <c r="L196" s="426"/>
      <c r="M196" s="426"/>
      <c r="N196" s="426"/>
      <c r="O196" s="426"/>
      <c r="P196" s="426"/>
      <c r="Q196" s="426"/>
      <c r="R196" s="426"/>
      <c r="S196" s="426"/>
      <c r="T196" s="426"/>
      <c r="U196" s="426"/>
      <c r="V196" s="426"/>
      <c r="W196" s="426"/>
      <c r="X196" s="426"/>
      <c r="Y196" s="426"/>
      <c r="Z196" s="426"/>
      <c r="AA196" s="426"/>
      <c r="AB196" s="426"/>
      <c r="AC196" s="426"/>
      <c r="AD196" s="161">
        <f t="shared" si="6"/>
        <v>0</v>
      </c>
      <c r="AE196" s="602"/>
      <c r="AF196" s="160">
        <f t="shared" si="5"/>
        <v>0</v>
      </c>
      <c r="AG196" s="627"/>
      <c r="AP196" s="377"/>
      <c r="AQ196" s="377"/>
      <c r="AR196" s="377"/>
      <c r="AS196" s="377"/>
      <c r="AT196" s="377"/>
      <c r="AU196" s="377"/>
      <c r="AV196" s="377"/>
      <c r="AW196" s="377"/>
      <c r="AX196" s="377"/>
      <c r="AY196" s="377"/>
      <c r="AZ196" s="377"/>
      <c r="BA196" s="377"/>
      <c r="BB196" s="377"/>
      <c r="BC196" s="377"/>
      <c r="BD196" s="377"/>
      <c r="BE196" s="377"/>
      <c r="BF196" s="377"/>
      <c r="BG196" s="377"/>
      <c r="BH196" s="377"/>
    </row>
    <row r="197" spans="1:60" s="3" customFormat="1" ht="14.25" x14ac:dyDescent="0.2">
      <c r="A197" s="423"/>
      <c r="B197" s="423"/>
      <c r="C197" s="424"/>
      <c r="D197" s="424"/>
      <c r="E197" s="424"/>
      <c r="F197" s="424"/>
      <c r="G197" s="424"/>
      <c r="H197" s="424"/>
      <c r="I197" s="424"/>
      <c r="J197" s="424"/>
      <c r="K197" s="424"/>
      <c r="L197" s="424"/>
      <c r="M197" s="424"/>
      <c r="N197" s="424"/>
      <c r="O197" s="424"/>
      <c r="P197" s="424"/>
      <c r="Q197" s="424"/>
      <c r="R197" s="424"/>
      <c r="S197" s="424"/>
      <c r="T197" s="424"/>
      <c r="U197" s="424"/>
      <c r="V197" s="424"/>
      <c r="W197" s="424"/>
      <c r="X197" s="424"/>
      <c r="Y197" s="424"/>
      <c r="Z197" s="424"/>
      <c r="AA197" s="424"/>
      <c r="AB197" s="424"/>
      <c r="AC197" s="424"/>
      <c r="AD197" s="123">
        <f t="shared" si="6"/>
        <v>0</v>
      </c>
      <c r="AE197" s="603"/>
      <c r="AF197" s="113">
        <f t="shared" si="5"/>
        <v>0</v>
      </c>
      <c r="AG197" s="465"/>
      <c r="AP197" s="377"/>
      <c r="AQ197" s="377"/>
      <c r="AR197" s="377"/>
      <c r="AS197" s="377"/>
      <c r="AT197" s="377"/>
      <c r="AU197" s="377"/>
      <c r="AV197" s="377"/>
      <c r="AW197" s="377"/>
      <c r="AX197" s="377"/>
      <c r="AY197" s="377"/>
      <c r="AZ197" s="377"/>
      <c r="BA197" s="377"/>
      <c r="BB197" s="377"/>
      <c r="BC197" s="377"/>
      <c r="BD197" s="377"/>
      <c r="BE197" s="377"/>
      <c r="BF197" s="377"/>
      <c r="BG197" s="377"/>
      <c r="BH197" s="377"/>
    </row>
    <row r="198" spans="1:60" s="3" customFormat="1" ht="14.25" x14ac:dyDescent="0.2">
      <c r="A198" s="425"/>
      <c r="B198" s="425"/>
      <c r="C198" s="426"/>
      <c r="D198" s="426"/>
      <c r="E198" s="426"/>
      <c r="F198" s="426"/>
      <c r="G198" s="426"/>
      <c r="H198" s="426"/>
      <c r="I198" s="426"/>
      <c r="J198" s="426"/>
      <c r="K198" s="426"/>
      <c r="L198" s="426"/>
      <c r="M198" s="426"/>
      <c r="N198" s="426"/>
      <c r="O198" s="426"/>
      <c r="P198" s="426"/>
      <c r="Q198" s="426"/>
      <c r="R198" s="426"/>
      <c r="S198" s="426"/>
      <c r="T198" s="426"/>
      <c r="U198" s="426"/>
      <c r="V198" s="426"/>
      <c r="W198" s="426"/>
      <c r="X198" s="426"/>
      <c r="Y198" s="426"/>
      <c r="Z198" s="426"/>
      <c r="AA198" s="426"/>
      <c r="AB198" s="426"/>
      <c r="AC198" s="426"/>
      <c r="AD198" s="161">
        <f t="shared" si="6"/>
        <v>0</v>
      </c>
      <c r="AE198" s="602"/>
      <c r="AF198" s="160">
        <f t="shared" si="5"/>
        <v>0</v>
      </c>
      <c r="AG198" s="627"/>
      <c r="AP198" s="377"/>
      <c r="AQ198" s="377"/>
      <c r="AR198" s="377"/>
      <c r="AS198" s="377"/>
      <c r="AT198" s="377"/>
      <c r="AU198" s="377"/>
      <c r="AV198" s="377"/>
      <c r="AW198" s="377"/>
      <c r="AX198" s="377"/>
      <c r="AY198" s="377"/>
      <c r="AZ198" s="377"/>
      <c r="BA198" s="377"/>
      <c r="BB198" s="377"/>
      <c r="BC198" s="377"/>
      <c r="BD198" s="377"/>
      <c r="BE198" s="377"/>
      <c r="BF198" s="377"/>
      <c r="BG198" s="377"/>
      <c r="BH198" s="377"/>
    </row>
    <row r="199" spans="1:60" s="3" customFormat="1" ht="14.25" x14ac:dyDescent="0.2">
      <c r="A199" s="423"/>
      <c r="B199" s="423"/>
      <c r="C199" s="424"/>
      <c r="D199" s="424"/>
      <c r="E199" s="424"/>
      <c r="F199" s="424"/>
      <c r="G199" s="424"/>
      <c r="H199" s="424"/>
      <c r="I199" s="424"/>
      <c r="J199" s="424"/>
      <c r="K199" s="424"/>
      <c r="L199" s="424"/>
      <c r="M199" s="424"/>
      <c r="N199" s="424"/>
      <c r="O199" s="424"/>
      <c r="P199" s="424"/>
      <c r="Q199" s="424"/>
      <c r="R199" s="424"/>
      <c r="S199" s="424"/>
      <c r="T199" s="424"/>
      <c r="U199" s="424"/>
      <c r="V199" s="424"/>
      <c r="W199" s="424"/>
      <c r="X199" s="424"/>
      <c r="Y199" s="424"/>
      <c r="Z199" s="424"/>
      <c r="AA199" s="424"/>
      <c r="AB199" s="424"/>
      <c r="AC199" s="424"/>
      <c r="AD199" s="123">
        <f t="shared" si="6"/>
        <v>0</v>
      </c>
      <c r="AE199" s="603"/>
      <c r="AF199" s="113">
        <f>AD199*AE199</f>
        <v>0</v>
      </c>
      <c r="AG199" s="465"/>
      <c r="AP199" s="377"/>
      <c r="AQ199" s="377"/>
      <c r="AR199" s="377"/>
      <c r="AS199" s="377"/>
      <c r="AT199" s="377"/>
      <c r="AU199" s="377"/>
      <c r="AV199" s="377"/>
      <c r="AW199" s="377"/>
      <c r="AX199" s="377"/>
      <c r="AY199" s="377"/>
      <c r="AZ199" s="377"/>
      <c r="BA199" s="377"/>
      <c r="BB199" s="377"/>
      <c r="BC199" s="377"/>
      <c r="BD199" s="377"/>
      <c r="BE199" s="377"/>
      <c r="BF199" s="377"/>
      <c r="BG199" s="377"/>
      <c r="BH199" s="377"/>
    </row>
    <row r="200" spans="1:60" s="3" customFormat="1" ht="14.25" x14ac:dyDescent="0.2">
      <c r="A200" s="425"/>
      <c r="B200" s="425"/>
      <c r="C200" s="426"/>
      <c r="D200" s="426"/>
      <c r="E200" s="426"/>
      <c r="F200" s="426"/>
      <c r="G200" s="426"/>
      <c r="H200" s="426"/>
      <c r="I200" s="426"/>
      <c r="J200" s="426"/>
      <c r="K200" s="426"/>
      <c r="L200" s="426"/>
      <c r="M200" s="426"/>
      <c r="N200" s="426"/>
      <c r="O200" s="426"/>
      <c r="P200" s="426"/>
      <c r="Q200" s="426"/>
      <c r="R200" s="426"/>
      <c r="S200" s="426"/>
      <c r="T200" s="426"/>
      <c r="U200" s="426"/>
      <c r="V200" s="426"/>
      <c r="W200" s="426"/>
      <c r="X200" s="426"/>
      <c r="Y200" s="426"/>
      <c r="Z200" s="426"/>
      <c r="AA200" s="426"/>
      <c r="AB200" s="426"/>
      <c r="AC200" s="426"/>
      <c r="AD200" s="161">
        <f t="shared" si="6"/>
        <v>0</v>
      </c>
      <c r="AE200" s="602"/>
      <c r="AF200" s="160">
        <f>AD200*AE200</f>
        <v>0</v>
      </c>
      <c r="AG200" s="627"/>
      <c r="AP200" s="377"/>
      <c r="AQ200" s="377"/>
      <c r="AR200" s="377"/>
      <c r="AS200" s="377"/>
      <c r="AT200" s="377"/>
      <c r="AU200" s="377"/>
      <c r="AV200" s="377"/>
      <c r="AW200" s="377"/>
      <c r="AX200" s="377"/>
      <c r="AY200" s="377"/>
      <c r="AZ200" s="377"/>
      <c r="BA200" s="377"/>
      <c r="BB200" s="377"/>
      <c r="BC200" s="377"/>
      <c r="BD200" s="377"/>
      <c r="BE200" s="377"/>
      <c r="BF200" s="377"/>
      <c r="BG200" s="377"/>
      <c r="BH200" s="377"/>
    </row>
    <row r="201" spans="1:60" s="3" customFormat="1" ht="14.25" x14ac:dyDescent="0.2">
      <c r="A201" s="423"/>
      <c r="B201" s="423"/>
      <c r="C201" s="424"/>
      <c r="D201" s="424"/>
      <c r="E201" s="424"/>
      <c r="F201" s="424"/>
      <c r="G201" s="424"/>
      <c r="H201" s="424"/>
      <c r="I201" s="424"/>
      <c r="J201" s="424"/>
      <c r="K201" s="424"/>
      <c r="L201" s="424"/>
      <c r="M201" s="424"/>
      <c r="N201" s="424"/>
      <c r="O201" s="424"/>
      <c r="P201" s="424"/>
      <c r="Q201" s="424"/>
      <c r="R201" s="424"/>
      <c r="S201" s="424"/>
      <c r="T201" s="424"/>
      <c r="U201" s="424"/>
      <c r="V201" s="424"/>
      <c r="W201" s="424"/>
      <c r="X201" s="424"/>
      <c r="Y201" s="424"/>
      <c r="Z201" s="424"/>
      <c r="AA201" s="424"/>
      <c r="AB201" s="424"/>
      <c r="AC201" s="424"/>
      <c r="AD201" s="123">
        <f t="shared" si="6"/>
        <v>0</v>
      </c>
      <c r="AE201" s="603"/>
      <c r="AF201" s="113">
        <f t="shared" si="5"/>
        <v>0</v>
      </c>
      <c r="AG201" s="465"/>
      <c r="AP201" s="377"/>
      <c r="AQ201" s="377"/>
      <c r="AR201" s="377"/>
      <c r="AS201" s="377"/>
      <c r="AT201" s="377"/>
      <c r="AU201" s="377"/>
      <c r="AV201" s="377"/>
      <c r="AW201" s="377"/>
      <c r="AX201" s="377"/>
      <c r="AY201" s="377"/>
      <c r="AZ201" s="377"/>
      <c r="BA201" s="377"/>
      <c r="BB201" s="377"/>
      <c r="BC201" s="377"/>
      <c r="BD201" s="377"/>
      <c r="BE201" s="377"/>
      <c r="BF201" s="377"/>
      <c r="BG201" s="377"/>
      <c r="BH201" s="377"/>
    </row>
    <row r="202" spans="1:60" s="3" customFormat="1" ht="14.25" x14ac:dyDescent="0.2">
      <c r="A202" s="425"/>
      <c r="B202" s="425"/>
      <c r="C202" s="426"/>
      <c r="D202" s="426"/>
      <c r="E202" s="426"/>
      <c r="F202" s="426"/>
      <c r="G202" s="426"/>
      <c r="H202" s="426"/>
      <c r="I202" s="426"/>
      <c r="J202" s="426"/>
      <c r="K202" s="426"/>
      <c r="L202" s="426"/>
      <c r="M202" s="426"/>
      <c r="N202" s="426"/>
      <c r="O202" s="426"/>
      <c r="P202" s="426"/>
      <c r="Q202" s="426"/>
      <c r="R202" s="426"/>
      <c r="S202" s="426"/>
      <c r="T202" s="426"/>
      <c r="U202" s="426"/>
      <c r="V202" s="426"/>
      <c r="W202" s="426"/>
      <c r="X202" s="426"/>
      <c r="Y202" s="426"/>
      <c r="Z202" s="426"/>
      <c r="AA202" s="426"/>
      <c r="AB202" s="426"/>
      <c r="AC202" s="426"/>
      <c r="AD202" s="161">
        <f t="shared" si="6"/>
        <v>0</v>
      </c>
      <c r="AE202" s="602"/>
      <c r="AF202" s="160">
        <f t="shared" si="5"/>
        <v>0</v>
      </c>
      <c r="AG202" s="627"/>
      <c r="AN202" s="77"/>
      <c r="AP202" s="377"/>
      <c r="AQ202" s="377"/>
      <c r="AR202" s="377"/>
      <c r="AS202" s="377"/>
      <c r="AT202" s="377"/>
      <c r="AU202" s="377"/>
      <c r="AV202" s="377"/>
      <c r="AW202" s="377"/>
      <c r="AX202" s="377"/>
      <c r="AY202" s="377"/>
      <c r="AZ202" s="377"/>
      <c r="BA202" s="377"/>
      <c r="BB202" s="377"/>
      <c r="BC202" s="377"/>
      <c r="BD202" s="377"/>
      <c r="BE202" s="377"/>
      <c r="BF202" s="377"/>
      <c r="BG202" s="377"/>
      <c r="BH202" s="377"/>
    </row>
    <row r="203" spans="1:60" s="3" customFormat="1" ht="14.25" x14ac:dyDescent="0.2">
      <c r="A203" s="423"/>
      <c r="B203" s="423"/>
      <c r="C203" s="424"/>
      <c r="D203" s="424"/>
      <c r="E203" s="424"/>
      <c r="F203" s="424"/>
      <c r="G203" s="424"/>
      <c r="H203" s="424"/>
      <c r="I203" s="424"/>
      <c r="J203" s="424"/>
      <c r="K203" s="424"/>
      <c r="L203" s="424"/>
      <c r="M203" s="424"/>
      <c r="N203" s="424"/>
      <c r="O203" s="424"/>
      <c r="P203" s="424"/>
      <c r="Q203" s="424"/>
      <c r="R203" s="424"/>
      <c r="S203" s="424"/>
      <c r="T203" s="424"/>
      <c r="U203" s="424"/>
      <c r="V203" s="424"/>
      <c r="W203" s="424"/>
      <c r="X203" s="424"/>
      <c r="Y203" s="424"/>
      <c r="Z203" s="424"/>
      <c r="AA203" s="424"/>
      <c r="AB203" s="424"/>
      <c r="AC203" s="424"/>
      <c r="AD203" s="123">
        <f t="shared" si="6"/>
        <v>0</v>
      </c>
      <c r="AE203" s="603"/>
      <c r="AF203" s="113">
        <f t="shared" si="5"/>
        <v>0</v>
      </c>
      <c r="AG203" s="465"/>
      <c r="AN203" s="77"/>
      <c r="AP203" s="377"/>
      <c r="AQ203" s="377"/>
      <c r="AR203" s="377"/>
      <c r="AS203" s="377"/>
      <c r="AT203" s="377"/>
      <c r="AU203" s="377"/>
      <c r="AV203" s="377"/>
      <c r="AW203" s="377"/>
      <c r="AX203" s="377"/>
      <c r="AY203" s="377"/>
      <c r="AZ203" s="377"/>
      <c r="BA203" s="377"/>
      <c r="BB203" s="377"/>
      <c r="BC203" s="377"/>
      <c r="BD203" s="377"/>
      <c r="BE203" s="377"/>
      <c r="BF203" s="377"/>
      <c r="BG203" s="377"/>
      <c r="BH203" s="377"/>
    </row>
    <row r="204" spans="1:60" s="3" customFormat="1" ht="14.25" x14ac:dyDescent="0.2">
      <c r="A204" s="425"/>
      <c r="B204" s="425"/>
      <c r="C204" s="426"/>
      <c r="D204" s="426"/>
      <c r="E204" s="426"/>
      <c r="F204" s="426"/>
      <c r="G204" s="426"/>
      <c r="H204" s="426"/>
      <c r="I204" s="426"/>
      <c r="J204" s="426"/>
      <c r="K204" s="426"/>
      <c r="L204" s="426"/>
      <c r="M204" s="426"/>
      <c r="N204" s="426"/>
      <c r="O204" s="426"/>
      <c r="P204" s="426"/>
      <c r="Q204" s="426"/>
      <c r="R204" s="426"/>
      <c r="S204" s="426"/>
      <c r="T204" s="426"/>
      <c r="U204" s="426"/>
      <c r="V204" s="426"/>
      <c r="W204" s="426"/>
      <c r="X204" s="426"/>
      <c r="Y204" s="426"/>
      <c r="Z204" s="426"/>
      <c r="AA204" s="426"/>
      <c r="AB204" s="426"/>
      <c r="AC204" s="426"/>
      <c r="AD204" s="161">
        <f t="shared" si="6"/>
        <v>0</v>
      </c>
      <c r="AE204" s="602"/>
      <c r="AF204" s="160">
        <f t="shared" si="5"/>
        <v>0</v>
      </c>
      <c r="AG204" s="627"/>
      <c r="AN204" s="77"/>
      <c r="AP204" s="377"/>
      <c r="AQ204" s="377"/>
      <c r="AR204" s="377"/>
      <c r="AS204" s="377"/>
      <c r="AT204" s="377"/>
      <c r="AU204" s="377"/>
      <c r="AV204" s="377"/>
      <c r="AW204" s="377"/>
      <c r="AX204" s="377"/>
      <c r="AY204" s="377"/>
      <c r="AZ204" s="377"/>
      <c r="BA204" s="377"/>
      <c r="BB204" s="377"/>
      <c r="BC204" s="377"/>
      <c r="BD204" s="377"/>
      <c r="BE204" s="377"/>
      <c r="BF204" s="377"/>
      <c r="BG204" s="377"/>
      <c r="BH204" s="377"/>
    </row>
    <row r="205" spans="1:60" s="3" customFormat="1" ht="14.25" x14ac:dyDescent="0.2">
      <c r="A205" s="423"/>
      <c r="B205" s="423"/>
      <c r="C205" s="424"/>
      <c r="D205" s="424"/>
      <c r="E205" s="424"/>
      <c r="F205" s="424"/>
      <c r="G205" s="424"/>
      <c r="H205" s="424"/>
      <c r="I205" s="424"/>
      <c r="J205" s="424"/>
      <c r="K205" s="424"/>
      <c r="L205" s="424"/>
      <c r="M205" s="424"/>
      <c r="N205" s="424"/>
      <c r="O205" s="424"/>
      <c r="P205" s="424"/>
      <c r="Q205" s="424"/>
      <c r="R205" s="424"/>
      <c r="S205" s="424"/>
      <c r="T205" s="424"/>
      <c r="U205" s="424"/>
      <c r="V205" s="424"/>
      <c r="W205" s="424"/>
      <c r="X205" s="424"/>
      <c r="Y205" s="424"/>
      <c r="Z205" s="424"/>
      <c r="AA205" s="424"/>
      <c r="AB205" s="424"/>
      <c r="AC205" s="424"/>
      <c r="AD205" s="123">
        <f t="shared" si="6"/>
        <v>0</v>
      </c>
      <c r="AE205" s="603"/>
      <c r="AF205" s="113">
        <f t="shared" si="5"/>
        <v>0</v>
      </c>
      <c r="AG205" s="465"/>
      <c r="AN205" s="77"/>
      <c r="AP205" s="377"/>
      <c r="AQ205" s="377"/>
      <c r="AR205" s="377"/>
      <c r="AS205" s="377"/>
      <c r="AT205" s="377"/>
      <c r="AU205" s="377"/>
      <c r="AV205" s="377"/>
      <c r="AW205" s="377"/>
      <c r="AX205" s="377"/>
      <c r="AY205" s="377"/>
      <c r="AZ205" s="377"/>
      <c r="BA205" s="377"/>
      <c r="BB205" s="377"/>
      <c r="BC205" s="377"/>
      <c r="BD205" s="377"/>
      <c r="BE205" s="377"/>
      <c r="BF205" s="377"/>
      <c r="BG205" s="377"/>
      <c r="BH205" s="377"/>
    </row>
    <row r="206" spans="1:60" s="3" customFormat="1" ht="14.25" x14ac:dyDescent="0.2">
      <c r="A206" s="425"/>
      <c r="B206" s="425"/>
      <c r="C206" s="426"/>
      <c r="D206" s="426"/>
      <c r="E206" s="426"/>
      <c r="F206" s="426"/>
      <c r="G206" s="426"/>
      <c r="H206" s="426"/>
      <c r="I206" s="426"/>
      <c r="J206" s="426"/>
      <c r="K206" s="426"/>
      <c r="L206" s="426"/>
      <c r="M206" s="426"/>
      <c r="N206" s="426"/>
      <c r="O206" s="426"/>
      <c r="P206" s="426"/>
      <c r="Q206" s="426"/>
      <c r="R206" s="426"/>
      <c r="S206" s="426"/>
      <c r="T206" s="426"/>
      <c r="U206" s="426"/>
      <c r="V206" s="426"/>
      <c r="W206" s="426"/>
      <c r="X206" s="426"/>
      <c r="Y206" s="426"/>
      <c r="Z206" s="426"/>
      <c r="AA206" s="426"/>
      <c r="AB206" s="426"/>
      <c r="AC206" s="426"/>
      <c r="AD206" s="161">
        <f t="shared" si="6"/>
        <v>0</v>
      </c>
      <c r="AE206" s="602"/>
      <c r="AF206" s="160">
        <f t="shared" si="5"/>
        <v>0</v>
      </c>
      <c r="AG206" s="627"/>
      <c r="AN206" s="77"/>
      <c r="AP206" s="377"/>
      <c r="AQ206" s="377"/>
      <c r="AR206" s="377"/>
      <c r="AS206" s="377"/>
      <c r="AT206" s="377"/>
      <c r="AU206" s="377"/>
      <c r="AV206" s="377"/>
      <c r="AW206" s="377"/>
      <c r="AX206" s="377"/>
      <c r="AY206" s="377"/>
      <c r="AZ206" s="377"/>
      <c r="BA206" s="377"/>
      <c r="BB206" s="377"/>
      <c r="BC206" s="377"/>
      <c r="BD206" s="377"/>
      <c r="BE206" s="377"/>
      <c r="BF206" s="377"/>
      <c r="BG206" s="377"/>
      <c r="BH206" s="377"/>
    </row>
    <row r="207" spans="1:60" s="3" customFormat="1" ht="14.25" x14ac:dyDescent="0.2">
      <c r="A207" s="423"/>
      <c r="B207" s="423"/>
      <c r="C207" s="424"/>
      <c r="D207" s="424"/>
      <c r="E207" s="424"/>
      <c r="F207" s="424"/>
      <c r="G207" s="424"/>
      <c r="H207" s="424"/>
      <c r="I207" s="424"/>
      <c r="J207" s="424"/>
      <c r="K207" s="424"/>
      <c r="L207" s="424"/>
      <c r="M207" s="424"/>
      <c r="N207" s="424"/>
      <c r="O207" s="424"/>
      <c r="P207" s="424"/>
      <c r="Q207" s="424"/>
      <c r="R207" s="424"/>
      <c r="S207" s="424"/>
      <c r="T207" s="424"/>
      <c r="U207" s="424"/>
      <c r="V207" s="424"/>
      <c r="W207" s="424"/>
      <c r="X207" s="424"/>
      <c r="Y207" s="424"/>
      <c r="Z207" s="424"/>
      <c r="AA207" s="424"/>
      <c r="AB207" s="424"/>
      <c r="AC207" s="424"/>
      <c r="AD207" s="123">
        <f t="shared" si="6"/>
        <v>0</v>
      </c>
      <c r="AE207" s="603"/>
      <c r="AF207" s="113">
        <f t="shared" si="5"/>
        <v>0</v>
      </c>
      <c r="AG207" s="465"/>
      <c r="AN207" s="77"/>
      <c r="AP207" s="377"/>
      <c r="AQ207" s="377"/>
      <c r="AR207" s="377"/>
      <c r="AS207" s="377"/>
      <c r="AT207" s="377"/>
      <c r="AU207" s="377"/>
      <c r="AV207" s="377"/>
      <c r="AW207" s="377"/>
      <c r="AX207" s="377"/>
      <c r="AY207" s="377"/>
      <c r="AZ207" s="377"/>
      <c r="BA207" s="377"/>
      <c r="BB207" s="377"/>
      <c r="BC207" s="377"/>
      <c r="BD207" s="377"/>
      <c r="BE207" s="377"/>
      <c r="BF207" s="377"/>
      <c r="BG207" s="377"/>
      <c r="BH207" s="377"/>
    </row>
    <row r="208" spans="1:60" s="3" customFormat="1" ht="14.25" x14ac:dyDescent="0.2">
      <c r="A208" s="425"/>
      <c r="B208" s="425"/>
      <c r="C208" s="426"/>
      <c r="D208" s="426"/>
      <c r="E208" s="426"/>
      <c r="F208" s="426"/>
      <c r="G208" s="426"/>
      <c r="H208" s="426"/>
      <c r="I208" s="426"/>
      <c r="J208" s="426"/>
      <c r="K208" s="426"/>
      <c r="L208" s="426"/>
      <c r="M208" s="426"/>
      <c r="N208" s="426"/>
      <c r="O208" s="426"/>
      <c r="P208" s="426"/>
      <c r="Q208" s="426"/>
      <c r="R208" s="426"/>
      <c r="S208" s="426"/>
      <c r="T208" s="426"/>
      <c r="U208" s="426"/>
      <c r="V208" s="426"/>
      <c r="W208" s="426"/>
      <c r="X208" s="426"/>
      <c r="Y208" s="426"/>
      <c r="Z208" s="426"/>
      <c r="AA208" s="426"/>
      <c r="AB208" s="426"/>
      <c r="AC208" s="426"/>
      <c r="AD208" s="161">
        <f t="shared" si="6"/>
        <v>0</v>
      </c>
      <c r="AE208" s="602"/>
      <c r="AF208" s="160">
        <f t="shared" si="5"/>
        <v>0</v>
      </c>
      <c r="AG208" s="627"/>
      <c r="AN208" s="77"/>
      <c r="AP208" s="377"/>
      <c r="AQ208" s="377"/>
      <c r="AR208" s="377"/>
      <c r="AS208" s="377"/>
      <c r="AT208" s="377"/>
      <c r="AU208" s="377"/>
      <c r="AV208" s="377"/>
      <c r="AW208" s="377"/>
      <c r="AX208" s="377"/>
      <c r="AY208" s="377"/>
      <c r="AZ208" s="377"/>
      <c r="BA208" s="377"/>
      <c r="BB208" s="377"/>
      <c r="BC208" s="377"/>
      <c r="BD208" s="377"/>
      <c r="BE208" s="377"/>
      <c r="BF208" s="377"/>
      <c r="BG208" s="377"/>
      <c r="BH208" s="377"/>
    </row>
    <row r="209" spans="1:60" s="3" customFormat="1" ht="14.25" x14ac:dyDescent="0.2">
      <c r="A209" s="423"/>
      <c r="B209" s="423"/>
      <c r="C209" s="424"/>
      <c r="D209" s="424"/>
      <c r="E209" s="424"/>
      <c r="F209" s="424"/>
      <c r="G209" s="424"/>
      <c r="H209" s="424"/>
      <c r="I209" s="424"/>
      <c r="J209" s="424"/>
      <c r="K209" s="424"/>
      <c r="L209" s="424"/>
      <c r="M209" s="424"/>
      <c r="N209" s="424"/>
      <c r="O209" s="424"/>
      <c r="P209" s="424"/>
      <c r="Q209" s="424"/>
      <c r="R209" s="424"/>
      <c r="S209" s="424"/>
      <c r="T209" s="424"/>
      <c r="U209" s="424"/>
      <c r="V209" s="424"/>
      <c r="W209" s="424"/>
      <c r="X209" s="424"/>
      <c r="Y209" s="424"/>
      <c r="Z209" s="424"/>
      <c r="AA209" s="424"/>
      <c r="AB209" s="424"/>
      <c r="AC209" s="424"/>
      <c r="AD209" s="123">
        <f t="shared" si="6"/>
        <v>0</v>
      </c>
      <c r="AE209" s="603"/>
      <c r="AF209" s="113">
        <f t="shared" si="5"/>
        <v>0</v>
      </c>
      <c r="AG209" s="465"/>
      <c r="AN209" s="77"/>
      <c r="AP209" s="377"/>
      <c r="AQ209" s="377"/>
      <c r="AR209" s="377"/>
      <c r="AS209" s="377"/>
      <c r="AT209" s="377"/>
      <c r="AU209" s="377"/>
      <c r="AV209" s="377"/>
      <c r="AW209" s="377"/>
      <c r="AX209" s="377"/>
      <c r="AY209" s="377"/>
      <c r="AZ209" s="377"/>
      <c r="BA209" s="377"/>
      <c r="BB209" s="377"/>
      <c r="BC209" s="377"/>
      <c r="BD209" s="377"/>
      <c r="BE209" s="377"/>
      <c r="BF209" s="377"/>
      <c r="BG209" s="377"/>
      <c r="BH209" s="377"/>
    </row>
    <row r="210" spans="1:60" s="3" customFormat="1" ht="14.25" x14ac:dyDescent="0.2">
      <c r="A210" s="425"/>
      <c r="B210" s="425"/>
      <c r="C210" s="426"/>
      <c r="D210" s="426"/>
      <c r="E210" s="426"/>
      <c r="F210" s="426"/>
      <c r="G210" s="426"/>
      <c r="H210" s="426"/>
      <c r="I210" s="426"/>
      <c r="J210" s="426"/>
      <c r="K210" s="426"/>
      <c r="L210" s="426"/>
      <c r="M210" s="426"/>
      <c r="N210" s="426"/>
      <c r="O210" s="426"/>
      <c r="P210" s="426"/>
      <c r="Q210" s="426"/>
      <c r="R210" s="426"/>
      <c r="S210" s="426"/>
      <c r="T210" s="426"/>
      <c r="U210" s="426"/>
      <c r="V210" s="426"/>
      <c r="W210" s="426"/>
      <c r="X210" s="426"/>
      <c r="Y210" s="426"/>
      <c r="Z210" s="426"/>
      <c r="AA210" s="426"/>
      <c r="AB210" s="426"/>
      <c r="AC210" s="426"/>
      <c r="AD210" s="161">
        <f t="shared" si="6"/>
        <v>0</v>
      </c>
      <c r="AE210" s="602"/>
      <c r="AF210" s="160">
        <f t="shared" si="5"/>
        <v>0</v>
      </c>
      <c r="AG210" s="627"/>
      <c r="AN210" s="77"/>
      <c r="AP210" s="377"/>
      <c r="AQ210" s="377"/>
      <c r="AR210" s="377"/>
      <c r="AS210" s="377"/>
      <c r="AT210" s="377"/>
      <c r="AU210" s="377"/>
      <c r="AV210" s="377"/>
      <c r="AW210" s="377"/>
      <c r="AX210" s="377"/>
      <c r="AY210" s="377"/>
      <c r="AZ210" s="377"/>
      <c r="BA210" s="377"/>
      <c r="BB210" s="377"/>
      <c r="BC210" s="377"/>
      <c r="BD210" s="377"/>
      <c r="BE210" s="377"/>
      <c r="BF210" s="377"/>
      <c r="BG210" s="377"/>
      <c r="BH210" s="377"/>
    </row>
    <row r="211" spans="1:60" s="3" customFormat="1" ht="14.25" x14ac:dyDescent="0.2">
      <c r="A211" s="423"/>
      <c r="B211" s="423"/>
      <c r="C211" s="424"/>
      <c r="D211" s="424"/>
      <c r="E211" s="424"/>
      <c r="F211" s="424"/>
      <c r="G211" s="424"/>
      <c r="H211" s="424"/>
      <c r="I211" s="424"/>
      <c r="J211" s="424"/>
      <c r="K211" s="424"/>
      <c r="L211" s="424"/>
      <c r="M211" s="424"/>
      <c r="N211" s="424"/>
      <c r="O211" s="424"/>
      <c r="P211" s="424"/>
      <c r="Q211" s="424"/>
      <c r="R211" s="424"/>
      <c r="S211" s="424"/>
      <c r="T211" s="424"/>
      <c r="U211" s="424"/>
      <c r="V211" s="424"/>
      <c r="W211" s="424"/>
      <c r="X211" s="424"/>
      <c r="Y211" s="424"/>
      <c r="Z211" s="424"/>
      <c r="AA211" s="424"/>
      <c r="AB211" s="424"/>
      <c r="AC211" s="424"/>
      <c r="AD211" s="123">
        <f t="shared" si="6"/>
        <v>0</v>
      </c>
      <c r="AE211" s="603"/>
      <c r="AF211" s="113">
        <f t="shared" si="5"/>
        <v>0</v>
      </c>
      <c r="AG211" s="465"/>
      <c r="AN211" s="77"/>
      <c r="AP211" s="377"/>
      <c r="AQ211" s="377"/>
      <c r="AR211" s="377"/>
      <c r="AS211" s="377"/>
      <c r="AT211" s="377"/>
      <c r="AU211" s="377"/>
      <c r="AV211" s="377"/>
      <c r="AW211" s="377"/>
      <c r="AX211" s="377"/>
      <c r="AY211" s="377"/>
      <c r="AZ211" s="377"/>
      <c r="BA211" s="377"/>
      <c r="BB211" s="377"/>
      <c r="BC211" s="377"/>
      <c r="BD211" s="377"/>
      <c r="BE211" s="377"/>
      <c r="BF211" s="377"/>
      <c r="BG211" s="377"/>
      <c r="BH211" s="377"/>
    </row>
    <row r="212" spans="1:60" s="3" customFormat="1" ht="14.25" x14ac:dyDescent="0.2">
      <c r="A212" s="425"/>
      <c r="B212" s="425"/>
      <c r="C212" s="426"/>
      <c r="D212" s="426"/>
      <c r="E212" s="426"/>
      <c r="F212" s="426"/>
      <c r="G212" s="426"/>
      <c r="H212" s="426"/>
      <c r="I212" s="426"/>
      <c r="J212" s="426"/>
      <c r="K212" s="426"/>
      <c r="L212" s="426"/>
      <c r="M212" s="426"/>
      <c r="N212" s="426"/>
      <c r="O212" s="426"/>
      <c r="P212" s="426"/>
      <c r="Q212" s="426"/>
      <c r="R212" s="426"/>
      <c r="S212" s="426"/>
      <c r="T212" s="426"/>
      <c r="U212" s="426"/>
      <c r="V212" s="426"/>
      <c r="W212" s="426"/>
      <c r="X212" s="426"/>
      <c r="Y212" s="426"/>
      <c r="Z212" s="426"/>
      <c r="AA212" s="426"/>
      <c r="AB212" s="426"/>
      <c r="AC212" s="426"/>
      <c r="AD212" s="161">
        <f t="shared" si="6"/>
        <v>0</v>
      </c>
      <c r="AE212" s="602"/>
      <c r="AF212" s="160">
        <f t="shared" si="5"/>
        <v>0</v>
      </c>
      <c r="AG212" s="627"/>
      <c r="AN212" s="77"/>
      <c r="AP212" s="377"/>
      <c r="AQ212" s="377"/>
      <c r="AR212" s="377"/>
      <c r="AS212" s="377"/>
      <c r="AT212" s="377"/>
      <c r="AU212" s="377"/>
      <c r="AV212" s="377"/>
      <c r="AW212" s="377"/>
      <c r="AX212" s="377"/>
      <c r="AY212" s="377"/>
      <c r="AZ212" s="377"/>
      <c r="BA212" s="377"/>
      <c r="BB212" s="377"/>
      <c r="BC212" s="377"/>
      <c r="BD212" s="377"/>
      <c r="BE212" s="377"/>
      <c r="BF212" s="377"/>
      <c r="BG212" s="377"/>
      <c r="BH212" s="377"/>
    </row>
    <row r="213" spans="1:60" s="3" customFormat="1" ht="14.25" x14ac:dyDescent="0.2">
      <c r="A213" s="423"/>
      <c r="B213" s="423"/>
      <c r="C213" s="424"/>
      <c r="D213" s="424"/>
      <c r="E213" s="424"/>
      <c r="F213" s="424"/>
      <c r="G213" s="424"/>
      <c r="H213" s="424"/>
      <c r="I213" s="424"/>
      <c r="J213" s="424"/>
      <c r="K213" s="424"/>
      <c r="L213" s="424"/>
      <c r="M213" s="424"/>
      <c r="N213" s="424"/>
      <c r="O213" s="424"/>
      <c r="P213" s="424"/>
      <c r="Q213" s="424"/>
      <c r="R213" s="424"/>
      <c r="S213" s="424"/>
      <c r="T213" s="424"/>
      <c r="U213" s="424"/>
      <c r="V213" s="424"/>
      <c r="W213" s="424"/>
      <c r="X213" s="424"/>
      <c r="Y213" s="424"/>
      <c r="Z213" s="424"/>
      <c r="AA213" s="424"/>
      <c r="AB213" s="424"/>
      <c r="AC213" s="424"/>
      <c r="AD213" s="123">
        <f t="shared" si="6"/>
        <v>0</v>
      </c>
      <c r="AE213" s="603"/>
      <c r="AF213" s="113">
        <f t="shared" si="5"/>
        <v>0</v>
      </c>
      <c r="AG213" s="465"/>
      <c r="AN213" s="77"/>
      <c r="AP213" s="377"/>
      <c r="AQ213" s="377"/>
      <c r="AR213" s="377"/>
      <c r="AS213" s="377"/>
      <c r="AT213" s="377"/>
      <c r="AU213" s="377"/>
      <c r="AV213" s="377"/>
      <c r="AW213" s="377"/>
      <c r="AX213" s="377"/>
      <c r="AY213" s="377"/>
      <c r="AZ213" s="377"/>
      <c r="BA213" s="377"/>
      <c r="BB213" s="377"/>
      <c r="BC213" s="377"/>
      <c r="BD213" s="377"/>
      <c r="BE213" s="377"/>
      <c r="BF213" s="377"/>
      <c r="BG213" s="377"/>
      <c r="BH213" s="377"/>
    </row>
    <row r="214" spans="1:60" s="3" customFormat="1" ht="14.25" x14ac:dyDescent="0.2">
      <c r="A214" s="425"/>
      <c r="B214" s="425"/>
      <c r="C214" s="426"/>
      <c r="D214" s="426"/>
      <c r="E214" s="426"/>
      <c r="F214" s="426"/>
      <c r="G214" s="426"/>
      <c r="H214" s="426"/>
      <c r="I214" s="426"/>
      <c r="J214" s="426"/>
      <c r="K214" s="426"/>
      <c r="L214" s="426"/>
      <c r="M214" s="426"/>
      <c r="N214" s="426"/>
      <c r="O214" s="426"/>
      <c r="P214" s="426"/>
      <c r="Q214" s="426"/>
      <c r="R214" s="426"/>
      <c r="S214" s="426"/>
      <c r="T214" s="426"/>
      <c r="U214" s="426"/>
      <c r="V214" s="426"/>
      <c r="W214" s="426"/>
      <c r="X214" s="426"/>
      <c r="Y214" s="426"/>
      <c r="Z214" s="426"/>
      <c r="AA214" s="426"/>
      <c r="AB214" s="426"/>
      <c r="AC214" s="426"/>
      <c r="AD214" s="161">
        <f t="shared" si="6"/>
        <v>0</v>
      </c>
      <c r="AE214" s="602"/>
      <c r="AF214" s="160">
        <f t="shared" si="5"/>
        <v>0</v>
      </c>
      <c r="AG214" s="627"/>
      <c r="AN214" s="77"/>
      <c r="AP214" s="377"/>
      <c r="AQ214" s="377"/>
      <c r="AR214" s="377"/>
      <c r="AS214" s="377"/>
      <c r="AT214" s="377"/>
      <c r="AU214" s="377"/>
      <c r="AV214" s="377"/>
      <c r="AW214" s="377"/>
      <c r="AX214" s="377"/>
      <c r="AY214" s="377"/>
      <c r="AZ214" s="377"/>
      <c r="BA214" s="377"/>
      <c r="BB214" s="377"/>
      <c r="BC214" s="377"/>
      <c r="BD214" s="377"/>
      <c r="BE214" s="377"/>
      <c r="BF214" s="377"/>
      <c r="BG214" s="377"/>
      <c r="BH214" s="377"/>
    </row>
    <row r="215" spans="1:60" s="3" customFormat="1" ht="14.25" x14ac:dyDescent="0.2">
      <c r="A215" s="423"/>
      <c r="B215" s="423"/>
      <c r="C215" s="424"/>
      <c r="D215" s="424"/>
      <c r="E215" s="424"/>
      <c r="F215" s="424"/>
      <c r="G215" s="424"/>
      <c r="H215" s="424"/>
      <c r="I215" s="424"/>
      <c r="J215" s="424"/>
      <c r="K215" s="424"/>
      <c r="L215" s="424"/>
      <c r="M215" s="424"/>
      <c r="N215" s="424"/>
      <c r="O215" s="424"/>
      <c r="P215" s="424"/>
      <c r="Q215" s="424"/>
      <c r="R215" s="424"/>
      <c r="S215" s="424"/>
      <c r="T215" s="424"/>
      <c r="U215" s="424"/>
      <c r="V215" s="424"/>
      <c r="W215" s="424"/>
      <c r="X215" s="424"/>
      <c r="Y215" s="424"/>
      <c r="Z215" s="424"/>
      <c r="AA215" s="424"/>
      <c r="AB215" s="424"/>
      <c r="AC215" s="424"/>
      <c r="AD215" s="123">
        <f t="shared" si="6"/>
        <v>0</v>
      </c>
      <c r="AE215" s="603"/>
      <c r="AF215" s="113">
        <f t="shared" si="5"/>
        <v>0</v>
      </c>
      <c r="AG215" s="465"/>
      <c r="AN215" s="77"/>
      <c r="AP215" s="377"/>
      <c r="AQ215" s="377"/>
      <c r="AR215" s="377"/>
      <c r="AS215" s="377"/>
      <c r="AT215" s="377"/>
      <c r="AU215" s="377"/>
      <c r="AV215" s="377"/>
      <c r="AW215" s="377"/>
      <c r="AX215" s="377"/>
      <c r="AY215" s="377"/>
      <c r="AZ215" s="377"/>
      <c r="BA215" s="377"/>
      <c r="BB215" s="377"/>
      <c r="BC215" s="377"/>
      <c r="BD215" s="377"/>
      <c r="BE215" s="377"/>
      <c r="BF215" s="377"/>
      <c r="BG215" s="377"/>
      <c r="BH215" s="377"/>
    </row>
    <row r="216" spans="1:60" s="3" customFormat="1" ht="14.25" x14ac:dyDescent="0.2">
      <c r="A216" s="425"/>
      <c r="B216" s="425"/>
      <c r="C216" s="426"/>
      <c r="D216" s="426"/>
      <c r="E216" s="426"/>
      <c r="F216" s="426"/>
      <c r="G216" s="426"/>
      <c r="H216" s="426"/>
      <c r="I216" s="426"/>
      <c r="J216" s="426"/>
      <c r="K216" s="426"/>
      <c r="L216" s="426"/>
      <c r="M216" s="426"/>
      <c r="N216" s="426"/>
      <c r="O216" s="426"/>
      <c r="P216" s="426"/>
      <c r="Q216" s="426"/>
      <c r="R216" s="426"/>
      <c r="S216" s="426"/>
      <c r="T216" s="426"/>
      <c r="U216" s="426"/>
      <c r="V216" s="426"/>
      <c r="W216" s="426"/>
      <c r="X216" s="426"/>
      <c r="Y216" s="426"/>
      <c r="Z216" s="426"/>
      <c r="AA216" s="426"/>
      <c r="AB216" s="426"/>
      <c r="AC216" s="426"/>
      <c r="AD216" s="161">
        <f t="shared" si="6"/>
        <v>0</v>
      </c>
      <c r="AE216" s="602"/>
      <c r="AF216" s="160">
        <f t="shared" si="5"/>
        <v>0</v>
      </c>
      <c r="AG216" s="627"/>
      <c r="AN216" s="77"/>
      <c r="AP216" s="377"/>
      <c r="AQ216" s="377"/>
      <c r="AR216" s="377"/>
      <c r="AS216" s="377"/>
      <c r="AT216" s="377"/>
      <c r="AU216" s="377"/>
      <c r="AV216" s="377"/>
      <c r="AW216" s="377"/>
      <c r="AX216" s="377"/>
      <c r="AY216" s="377"/>
      <c r="AZ216" s="377"/>
      <c r="BA216" s="377"/>
      <c r="BB216" s="377"/>
      <c r="BC216" s="377"/>
      <c r="BD216" s="377"/>
      <c r="BE216" s="377"/>
      <c r="BF216" s="377"/>
      <c r="BG216" s="377"/>
      <c r="BH216" s="377"/>
    </row>
    <row r="217" spans="1:60" s="3" customFormat="1" ht="14.25" x14ac:dyDescent="0.2">
      <c r="A217" s="423"/>
      <c r="B217" s="423"/>
      <c r="C217" s="424"/>
      <c r="D217" s="424"/>
      <c r="E217" s="424"/>
      <c r="F217" s="424"/>
      <c r="G217" s="424"/>
      <c r="H217" s="424"/>
      <c r="I217" s="424"/>
      <c r="J217" s="424"/>
      <c r="K217" s="424"/>
      <c r="L217" s="424"/>
      <c r="M217" s="424"/>
      <c r="N217" s="424"/>
      <c r="O217" s="424"/>
      <c r="P217" s="424"/>
      <c r="Q217" s="424"/>
      <c r="R217" s="424"/>
      <c r="S217" s="424"/>
      <c r="T217" s="424"/>
      <c r="U217" s="424"/>
      <c r="V217" s="424"/>
      <c r="W217" s="424"/>
      <c r="X217" s="424"/>
      <c r="Y217" s="424"/>
      <c r="Z217" s="424"/>
      <c r="AA217" s="424"/>
      <c r="AB217" s="424"/>
      <c r="AC217" s="424"/>
      <c r="AD217" s="123">
        <f t="shared" si="6"/>
        <v>0</v>
      </c>
      <c r="AE217" s="603"/>
      <c r="AF217" s="113">
        <f t="shared" si="5"/>
        <v>0</v>
      </c>
      <c r="AG217" s="465"/>
      <c r="AN217" s="77"/>
      <c r="AP217" s="377"/>
      <c r="AQ217" s="377"/>
      <c r="AR217" s="377"/>
      <c r="AS217" s="377"/>
      <c r="AT217" s="377"/>
      <c r="AU217" s="377"/>
      <c r="AV217" s="377"/>
      <c r="AW217" s="377"/>
      <c r="AX217" s="377"/>
      <c r="AY217" s="377"/>
      <c r="AZ217" s="377"/>
      <c r="BA217" s="377"/>
      <c r="BB217" s="377"/>
      <c r="BC217" s="377"/>
      <c r="BD217" s="377"/>
      <c r="BE217" s="377"/>
      <c r="BF217" s="377"/>
      <c r="BG217" s="377"/>
      <c r="BH217" s="377"/>
    </row>
    <row r="218" spans="1:60" s="3" customFormat="1" ht="14.25" x14ac:dyDescent="0.2">
      <c r="A218" s="425"/>
      <c r="B218" s="425"/>
      <c r="C218" s="426"/>
      <c r="D218" s="426"/>
      <c r="E218" s="426"/>
      <c r="F218" s="426"/>
      <c r="G218" s="426"/>
      <c r="H218" s="426"/>
      <c r="I218" s="426"/>
      <c r="J218" s="426"/>
      <c r="K218" s="426"/>
      <c r="L218" s="426"/>
      <c r="M218" s="426"/>
      <c r="N218" s="426"/>
      <c r="O218" s="426"/>
      <c r="P218" s="426"/>
      <c r="Q218" s="426"/>
      <c r="R218" s="426"/>
      <c r="S218" s="426"/>
      <c r="T218" s="426"/>
      <c r="U218" s="426"/>
      <c r="V218" s="426"/>
      <c r="W218" s="426"/>
      <c r="X218" s="426"/>
      <c r="Y218" s="426"/>
      <c r="Z218" s="426"/>
      <c r="AA218" s="426"/>
      <c r="AB218" s="426"/>
      <c r="AC218" s="426"/>
      <c r="AD218" s="161">
        <f t="shared" si="6"/>
        <v>0</v>
      </c>
      <c r="AE218" s="602"/>
      <c r="AF218" s="160">
        <f t="shared" si="5"/>
        <v>0</v>
      </c>
      <c r="AG218" s="627"/>
      <c r="AN218" s="77"/>
      <c r="AP218" s="377"/>
      <c r="AQ218" s="377"/>
      <c r="AR218" s="377"/>
      <c r="AS218" s="377"/>
      <c r="AT218" s="377"/>
      <c r="AU218" s="377"/>
      <c r="AV218" s="377"/>
      <c r="AW218" s="377"/>
      <c r="AX218" s="377"/>
      <c r="AY218" s="377"/>
      <c r="AZ218" s="377"/>
      <c r="BA218" s="377"/>
      <c r="BB218" s="377"/>
      <c r="BC218" s="377"/>
      <c r="BD218" s="377"/>
      <c r="BE218" s="377"/>
      <c r="BF218" s="377"/>
      <c r="BG218" s="377"/>
      <c r="BH218" s="377"/>
    </row>
    <row r="219" spans="1:60" s="3" customFormat="1" ht="14.25" x14ac:dyDescent="0.2">
      <c r="A219" s="423"/>
      <c r="B219" s="423"/>
      <c r="C219" s="424"/>
      <c r="D219" s="424"/>
      <c r="E219" s="424"/>
      <c r="F219" s="424"/>
      <c r="G219" s="424"/>
      <c r="H219" s="424"/>
      <c r="I219" s="424"/>
      <c r="J219" s="424"/>
      <c r="K219" s="424"/>
      <c r="L219" s="424"/>
      <c r="M219" s="424"/>
      <c r="N219" s="424"/>
      <c r="O219" s="424"/>
      <c r="P219" s="424"/>
      <c r="Q219" s="424"/>
      <c r="R219" s="424"/>
      <c r="S219" s="424"/>
      <c r="T219" s="424"/>
      <c r="U219" s="424"/>
      <c r="V219" s="424"/>
      <c r="W219" s="424"/>
      <c r="X219" s="424"/>
      <c r="Y219" s="424"/>
      <c r="Z219" s="424"/>
      <c r="AA219" s="424"/>
      <c r="AB219" s="424"/>
      <c r="AC219" s="424"/>
      <c r="AD219" s="123">
        <f t="shared" si="6"/>
        <v>0</v>
      </c>
      <c r="AE219" s="603"/>
      <c r="AF219" s="113">
        <f t="shared" ref="AF219:AF254" si="7">AD219*AE219</f>
        <v>0</v>
      </c>
      <c r="AG219" s="465"/>
      <c r="AN219" s="77"/>
      <c r="AP219" s="377"/>
      <c r="AQ219" s="377"/>
      <c r="AR219" s="377"/>
      <c r="AS219" s="377"/>
      <c r="AT219" s="377"/>
      <c r="AU219" s="377"/>
      <c r="AV219" s="377"/>
      <c r="AW219" s="377"/>
      <c r="AX219" s="377"/>
      <c r="AY219" s="377"/>
      <c r="AZ219" s="377"/>
      <c r="BA219" s="377"/>
      <c r="BB219" s="377"/>
      <c r="BC219" s="377"/>
      <c r="BD219" s="377"/>
      <c r="BE219" s="377"/>
      <c r="BF219" s="377"/>
      <c r="BG219" s="377"/>
      <c r="BH219" s="377"/>
    </row>
    <row r="220" spans="1:60" s="3" customFormat="1" ht="14.25" x14ac:dyDescent="0.2">
      <c r="A220" s="425"/>
      <c r="B220" s="425"/>
      <c r="C220" s="426"/>
      <c r="D220" s="426"/>
      <c r="E220" s="426"/>
      <c r="F220" s="426"/>
      <c r="G220" s="426"/>
      <c r="H220" s="426"/>
      <c r="I220" s="426"/>
      <c r="J220" s="426"/>
      <c r="K220" s="426"/>
      <c r="L220" s="426"/>
      <c r="M220" s="426"/>
      <c r="N220" s="426"/>
      <c r="O220" s="426"/>
      <c r="P220" s="426"/>
      <c r="Q220" s="426"/>
      <c r="R220" s="426"/>
      <c r="S220" s="426"/>
      <c r="T220" s="426"/>
      <c r="U220" s="426"/>
      <c r="V220" s="426"/>
      <c r="W220" s="426"/>
      <c r="X220" s="426"/>
      <c r="Y220" s="426"/>
      <c r="Z220" s="426"/>
      <c r="AA220" s="426"/>
      <c r="AB220" s="426"/>
      <c r="AC220" s="426"/>
      <c r="AD220" s="161">
        <f t="shared" si="6"/>
        <v>0</v>
      </c>
      <c r="AE220" s="602"/>
      <c r="AF220" s="160">
        <f t="shared" si="7"/>
        <v>0</v>
      </c>
      <c r="AG220" s="627"/>
      <c r="AN220" s="77"/>
      <c r="AP220" s="377"/>
      <c r="AQ220" s="377"/>
      <c r="AR220" s="377"/>
      <c r="AS220" s="377"/>
      <c r="AT220" s="377"/>
      <c r="AU220" s="377"/>
      <c r="AV220" s="377"/>
      <c r="AW220" s="377"/>
      <c r="AX220" s="377"/>
      <c r="AY220" s="377"/>
      <c r="AZ220" s="377"/>
      <c r="BA220" s="377"/>
      <c r="BB220" s="377"/>
      <c r="BC220" s="377"/>
      <c r="BD220" s="377"/>
      <c r="BE220" s="377"/>
      <c r="BF220" s="377"/>
      <c r="BG220" s="377"/>
      <c r="BH220" s="377"/>
    </row>
    <row r="221" spans="1:60" s="3" customFormat="1" ht="14.25" x14ac:dyDescent="0.2">
      <c r="A221" s="423"/>
      <c r="B221" s="423"/>
      <c r="C221" s="424"/>
      <c r="D221" s="424"/>
      <c r="E221" s="424"/>
      <c r="F221" s="424"/>
      <c r="G221" s="424"/>
      <c r="H221" s="424"/>
      <c r="I221" s="424"/>
      <c r="J221" s="424"/>
      <c r="K221" s="424"/>
      <c r="L221" s="424"/>
      <c r="M221" s="424"/>
      <c r="N221" s="424"/>
      <c r="O221" s="424"/>
      <c r="P221" s="424"/>
      <c r="Q221" s="424"/>
      <c r="R221" s="424"/>
      <c r="S221" s="424"/>
      <c r="T221" s="424"/>
      <c r="U221" s="424"/>
      <c r="V221" s="424"/>
      <c r="W221" s="424"/>
      <c r="X221" s="424"/>
      <c r="Y221" s="424"/>
      <c r="Z221" s="424"/>
      <c r="AA221" s="424"/>
      <c r="AB221" s="424"/>
      <c r="AC221" s="424"/>
      <c r="AD221" s="123">
        <f t="shared" si="6"/>
        <v>0</v>
      </c>
      <c r="AE221" s="603"/>
      <c r="AF221" s="113">
        <f t="shared" si="7"/>
        <v>0</v>
      </c>
      <c r="AG221" s="465"/>
      <c r="AN221" s="77"/>
      <c r="AP221" s="377"/>
      <c r="AQ221" s="377"/>
      <c r="AR221" s="377"/>
      <c r="AS221" s="377"/>
      <c r="AT221" s="377"/>
      <c r="AU221" s="377"/>
      <c r="AV221" s="377"/>
      <c r="AW221" s="377"/>
      <c r="AX221" s="377"/>
      <c r="AY221" s="377"/>
      <c r="AZ221" s="377"/>
      <c r="BA221" s="377"/>
      <c r="BB221" s="377"/>
      <c r="BC221" s="377"/>
      <c r="BD221" s="377"/>
      <c r="BE221" s="377"/>
      <c r="BF221" s="377"/>
      <c r="BG221" s="377"/>
      <c r="BH221" s="377"/>
    </row>
    <row r="222" spans="1:60" s="3" customFormat="1" ht="14.25" x14ac:dyDescent="0.2">
      <c r="A222" s="425"/>
      <c r="B222" s="425"/>
      <c r="C222" s="426"/>
      <c r="D222" s="426"/>
      <c r="E222" s="426"/>
      <c r="F222" s="426"/>
      <c r="G222" s="426"/>
      <c r="H222" s="426"/>
      <c r="I222" s="426"/>
      <c r="J222" s="426"/>
      <c r="K222" s="426"/>
      <c r="L222" s="426"/>
      <c r="M222" s="426"/>
      <c r="N222" s="426"/>
      <c r="O222" s="426"/>
      <c r="P222" s="426"/>
      <c r="Q222" s="426"/>
      <c r="R222" s="426"/>
      <c r="S222" s="426"/>
      <c r="T222" s="426"/>
      <c r="U222" s="426"/>
      <c r="V222" s="426"/>
      <c r="W222" s="426"/>
      <c r="X222" s="426"/>
      <c r="Y222" s="426"/>
      <c r="Z222" s="426"/>
      <c r="AA222" s="426"/>
      <c r="AB222" s="426"/>
      <c r="AC222" s="426"/>
      <c r="AD222" s="161">
        <f t="shared" si="6"/>
        <v>0</v>
      </c>
      <c r="AE222" s="602"/>
      <c r="AF222" s="160">
        <f t="shared" si="7"/>
        <v>0</v>
      </c>
      <c r="AG222" s="627"/>
      <c r="AN222" s="77"/>
      <c r="AP222" s="377"/>
      <c r="AQ222" s="377"/>
      <c r="AR222" s="377"/>
      <c r="AS222" s="377"/>
      <c r="AT222" s="377"/>
      <c r="AU222" s="377"/>
      <c r="AV222" s="377"/>
      <c r="AW222" s="377"/>
      <c r="AX222" s="377"/>
      <c r="AY222" s="377"/>
      <c r="AZ222" s="377"/>
      <c r="BA222" s="377"/>
      <c r="BB222" s="377"/>
      <c r="BC222" s="377"/>
      <c r="BD222" s="377"/>
      <c r="BE222" s="377"/>
      <c r="BF222" s="377"/>
      <c r="BG222" s="377"/>
      <c r="BH222" s="377"/>
    </row>
    <row r="223" spans="1:60" s="3" customFormat="1" ht="14.25" x14ac:dyDescent="0.2">
      <c r="A223" s="423"/>
      <c r="B223" s="423"/>
      <c r="C223" s="424"/>
      <c r="D223" s="424"/>
      <c r="E223" s="424"/>
      <c r="F223" s="424"/>
      <c r="G223" s="424"/>
      <c r="H223" s="424"/>
      <c r="I223" s="424"/>
      <c r="J223" s="424"/>
      <c r="K223" s="424"/>
      <c r="L223" s="424"/>
      <c r="M223" s="424"/>
      <c r="N223" s="424"/>
      <c r="O223" s="424"/>
      <c r="P223" s="424"/>
      <c r="Q223" s="424"/>
      <c r="R223" s="424"/>
      <c r="S223" s="424"/>
      <c r="T223" s="424"/>
      <c r="U223" s="424"/>
      <c r="V223" s="424"/>
      <c r="W223" s="424"/>
      <c r="X223" s="424"/>
      <c r="Y223" s="424"/>
      <c r="Z223" s="424"/>
      <c r="AA223" s="424"/>
      <c r="AB223" s="424"/>
      <c r="AC223" s="424"/>
      <c r="AD223" s="123">
        <f t="shared" ref="AD223:AD286" si="8">SUM(D223:AC223)</f>
        <v>0</v>
      </c>
      <c r="AE223" s="603"/>
      <c r="AF223" s="113">
        <f t="shared" si="7"/>
        <v>0</v>
      </c>
      <c r="AG223" s="465"/>
      <c r="AN223" s="77"/>
      <c r="AP223" s="377"/>
      <c r="AQ223" s="377"/>
      <c r="AR223" s="377"/>
      <c r="AS223" s="377"/>
      <c r="AT223" s="377"/>
      <c r="AU223" s="377"/>
      <c r="AV223" s="377"/>
      <c r="AW223" s="377"/>
      <c r="AX223" s="377"/>
      <c r="AY223" s="377"/>
      <c r="AZ223" s="377"/>
      <c r="BA223" s="377"/>
      <c r="BB223" s="377"/>
      <c r="BC223" s="377"/>
      <c r="BD223" s="377"/>
      <c r="BE223" s="377"/>
      <c r="BF223" s="377"/>
      <c r="BG223" s="377"/>
      <c r="BH223" s="377"/>
    </row>
    <row r="224" spans="1:60" s="3" customFormat="1" ht="14.25" x14ac:dyDescent="0.2">
      <c r="A224" s="425"/>
      <c r="B224" s="425"/>
      <c r="C224" s="426"/>
      <c r="D224" s="426"/>
      <c r="E224" s="426"/>
      <c r="F224" s="426"/>
      <c r="G224" s="426"/>
      <c r="H224" s="426"/>
      <c r="I224" s="426"/>
      <c r="J224" s="426"/>
      <c r="K224" s="426"/>
      <c r="L224" s="426"/>
      <c r="M224" s="426"/>
      <c r="N224" s="426"/>
      <c r="O224" s="426"/>
      <c r="P224" s="426"/>
      <c r="Q224" s="426"/>
      <c r="R224" s="426"/>
      <c r="S224" s="426"/>
      <c r="T224" s="426"/>
      <c r="U224" s="426"/>
      <c r="V224" s="426"/>
      <c r="W224" s="426"/>
      <c r="X224" s="426"/>
      <c r="Y224" s="426"/>
      <c r="Z224" s="426"/>
      <c r="AA224" s="426"/>
      <c r="AB224" s="426"/>
      <c r="AC224" s="426"/>
      <c r="AD224" s="161">
        <f t="shared" si="8"/>
        <v>0</v>
      </c>
      <c r="AE224" s="602"/>
      <c r="AF224" s="160">
        <f t="shared" si="7"/>
        <v>0</v>
      </c>
      <c r="AG224" s="627"/>
      <c r="AN224" s="77"/>
      <c r="AP224" s="377"/>
      <c r="AQ224" s="377"/>
      <c r="AR224" s="377"/>
      <c r="AS224" s="377"/>
      <c r="AT224" s="377"/>
      <c r="AU224" s="377"/>
      <c r="AV224" s="377"/>
      <c r="AW224" s="377"/>
      <c r="AX224" s="377"/>
      <c r="AY224" s="377"/>
      <c r="AZ224" s="377"/>
      <c r="BA224" s="377"/>
      <c r="BB224" s="377"/>
      <c r="BC224" s="377"/>
      <c r="BD224" s="377"/>
      <c r="BE224" s="377"/>
      <c r="BF224" s="377"/>
      <c r="BG224" s="377"/>
      <c r="BH224" s="377"/>
    </row>
    <row r="225" spans="1:60" s="3" customFormat="1" ht="14.25" x14ac:dyDescent="0.2">
      <c r="A225" s="423"/>
      <c r="B225" s="423"/>
      <c r="C225" s="424"/>
      <c r="D225" s="424"/>
      <c r="E225" s="424"/>
      <c r="F225" s="424"/>
      <c r="G225" s="424"/>
      <c r="H225" s="424"/>
      <c r="I225" s="424"/>
      <c r="J225" s="424"/>
      <c r="K225" s="424"/>
      <c r="L225" s="424"/>
      <c r="M225" s="424"/>
      <c r="N225" s="424"/>
      <c r="O225" s="424"/>
      <c r="P225" s="424"/>
      <c r="Q225" s="424"/>
      <c r="R225" s="424"/>
      <c r="S225" s="424"/>
      <c r="T225" s="424"/>
      <c r="U225" s="424"/>
      <c r="V225" s="424"/>
      <c r="W225" s="424"/>
      <c r="X225" s="424"/>
      <c r="Y225" s="424"/>
      <c r="Z225" s="424"/>
      <c r="AA225" s="424"/>
      <c r="AB225" s="424"/>
      <c r="AC225" s="424"/>
      <c r="AD225" s="123">
        <f t="shared" si="8"/>
        <v>0</v>
      </c>
      <c r="AE225" s="603"/>
      <c r="AF225" s="113">
        <f t="shared" si="7"/>
        <v>0</v>
      </c>
      <c r="AG225" s="465"/>
      <c r="AN225" s="77"/>
      <c r="AP225" s="377"/>
      <c r="AQ225" s="377"/>
      <c r="AR225" s="377"/>
      <c r="AS225" s="377"/>
      <c r="AT225" s="377"/>
      <c r="AU225" s="377"/>
      <c r="AV225" s="377"/>
      <c r="AW225" s="377"/>
      <c r="AX225" s="377"/>
      <c r="AY225" s="377"/>
      <c r="AZ225" s="377"/>
      <c r="BA225" s="377"/>
      <c r="BB225" s="377"/>
      <c r="BC225" s="377"/>
      <c r="BD225" s="377"/>
      <c r="BE225" s="377"/>
      <c r="BF225" s="377"/>
      <c r="BG225" s="377"/>
      <c r="BH225" s="377"/>
    </row>
    <row r="226" spans="1:60" s="3" customFormat="1" ht="14.25" x14ac:dyDescent="0.2">
      <c r="A226" s="425"/>
      <c r="B226" s="425"/>
      <c r="C226" s="426"/>
      <c r="D226" s="426"/>
      <c r="E226" s="426"/>
      <c r="F226" s="426"/>
      <c r="G226" s="426"/>
      <c r="H226" s="426"/>
      <c r="I226" s="426"/>
      <c r="J226" s="426"/>
      <c r="K226" s="426"/>
      <c r="L226" s="426"/>
      <c r="M226" s="426"/>
      <c r="N226" s="426"/>
      <c r="O226" s="426"/>
      <c r="P226" s="426"/>
      <c r="Q226" s="426"/>
      <c r="R226" s="426"/>
      <c r="S226" s="426"/>
      <c r="T226" s="426"/>
      <c r="U226" s="426"/>
      <c r="V226" s="426"/>
      <c r="W226" s="426"/>
      <c r="X226" s="426"/>
      <c r="Y226" s="426"/>
      <c r="Z226" s="426"/>
      <c r="AA226" s="426"/>
      <c r="AB226" s="426"/>
      <c r="AC226" s="426"/>
      <c r="AD226" s="161">
        <f t="shared" si="8"/>
        <v>0</v>
      </c>
      <c r="AE226" s="602"/>
      <c r="AF226" s="160">
        <f t="shared" si="7"/>
        <v>0</v>
      </c>
      <c r="AG226" s="627"/>
      <c r="AN226" s="77"/>
      <c r="AP226" s="377"/>
      <c r="AQ226" s="377"/>
      <c r="AR226" s="377"/>
      <c r="AS226" s="377"/>
      <c r="AT226" s="377"/>
      <c r="AU226" s="377"/>
      <c r="AV226" s="377"/>
      <c r="AW226" s="377"/>
      <c r="AX226" s="377"/>
      <c r="AY226" s="377"/>
      <c r="AZ226" s="377"/>
      <c r="BA226" s="377"/>
      <c r="BB226" s="377"/>
      <c r="BC226" s="377"/>
      <c r="BD226" s="377"/>
      <c r="BE226" s="377"/>
      <c r="BF226" s="377"/>
      <c r="BG226" s="377"/>
      <c r="BH226" s="377"/>
    </row>
    <row r="227" spans="1:60" s="3" customFormat="1" ht="14.25" x14ac:dyDescent="0.2">
      <c r="A227" s="423"/>
      <c r="B227" s="423"/>
      <c r="C227" s="424"/>
      <c r="D227" s="424"/>
      <c r="E227" s="424"/>
      <c r="F227" s="424"/>
      <c r="G227" s="424"/>
      <c r="H227" s="424"/>
      <c r="I227" s="424"/>
      <c r="J227" s="424"/>
      <c r="K227" s="424"/>
      <c r="L227" s="424"/>
      <c r="M227" s="424"/>
      <c r="N227" s="424"/>
      <c r="O227" s="424"/>
      <c r="P227" s="424"/>
      <c r="Q227" s="424"/>
      <c r="R227" s="424"/>
      <c r="S227" s="424"/>
      <c r="T227" s="424"/>
      <c r="U227" s="424"/>
      <c r="V227" s="424"/>
      <c r="W227" s="424"/>
      <c r="X227" s="424"/>
      <c r="Y227" s="424"/>
      <c r="Z227" s="424"/>
      <c r="AA227" s="424"/>
      <c r="AB227" s="424"/>
      <c r="AC227" s="424"/>
      <c r="AD227" s="123">
        <f t="shared" si="8"/>
        <v>0</v>
      </c>
      <c r="AE227" s="603"/>
      <c r="AF227" s="113">
        <f t="shared" si="7"/>
        <v>0</v>
      </c>
      <c r="AG227" s="465"/>
      <c r="AN227" s="77"/>
      <c r="AP227" s="377"/>
      <c r="AQ227" s="377"/>
      <c r="AR227" s="377"/>
      <c r="AS227" s="377"/>
      <c r="AT227" s="377"/>
      <c r="AU227" s="377"/>
      <c r="AV227" s="377"/>
      <c r="AW227" s="377"/>
      <c r="AX227" s="377"/>
      <c r="AY227" s="377"/>
      <c r="AZ227" s="377"/>
      <c r="BA227" s="377"/>
      <c r="BB227" s="377"/>
      <c r="BC227" s="377"/>
      <c r="BD227" s="377"/>
      <c r="BE227" s="377"/>
      <c r="BF227" s="377"/>
      <c r="BG227" s="377"/>
      <c r="BH227" s="377"/>
    </row>
    <row r="228" spans="1:60" s="3" customFormat="1" ht="14.25" x14ac:dyDescent="0.2">
      <c r="A228" s="425"/>
      <c r="B228" s="425"/>
      <c r="C228" s="426"/>
      <c r="D228" s="426"/>
      <c r="E228" s="426"/>
      <c r="F228" s="426"/>
      <c r="G228" s="426"/>
      <c r="H228" s="426"/>
      <c r="I228" s="426"/>
      <c r="J228" s="426"/>
      <c r="K228" s="426"/>
      <c r="L228" s="426"/>
      <c r="M228" s="426"/>
      <c r="N228" s="426"/>
      <c r="O228" s="426"/>
      <c r="P228" s="426"/>
      <c r="Q228" s="426"/>
      <c r="R228" s="426"/>
      <c r="S228" s="426"/>
      <c r="T228" s="426"/>
      <c r="U228" s="426"/>
      <c r="V228" s="426"/>
      <c r="W228" s="426"/>
      <c r="X228" s="426"/>
      <c r="Y228" s="426"/>
      <c r="Z228" s="426"/>
      <c r="AA228" s="426"/>
      <c r="AB228" s="426"/>
      <c r="AC228" s="426"/>
      <c r="AD228" s="161">
        <f t="shared" si="8"/>
        <v>0</v>
      </c>
      <c r="AE228" s="602"/>
      <c r="AF228" s="160">
        <f t="shared" si="7"/>
        <v>0</v>
      </c>
      <c r="AG228" s="627"/>
      <c r="AN228" s="77"/>
      <c r="AP228" s="377"/>
      <c r="AQ228" s="377"/>
      <c r="AR228" s="377"/>
      <c r="AS228" s="377"/>
      <c r="AT228" s="377"/>
      <c r="AU228" s="377"/>
      <c r="AV228" s="377"/>
      <c r="AW228" s="377"/>
      <c r="AX228" s="377"/>
      <c r="AY228" s="377"/>
      <c r="AZ228" s="377"/>
      <c r="BA228" s="377"/>
      <c r="BB228" s="377"/>
      <c r="BC228" s="377"/>
      <c r="BD228" s="377"/>
      <c r="BE228" s="377"/>
      <c r="BF228" s="377"/>
      <c r="BG228" s="377"/>
      <c r="BH228" s="377"/>
    </row>
    <row r="229" spans="1:60" s="3" customFormat="1" ht="14.25" x14ac:dyDescent="0.2">
      <c r="A229" s="423"/>
      <c r="B229" s="423"/>
      <c r="C229" s="424"/>
      <c r="D229" s="424"/>
      <c r="E229" s="424"/>
      <c r="F229" s="424"/>
      <c r="G229" s="424"/>
      <c r="H229" s="424"/>
      <c r="I229" s="424"/>
      <c r="J229" s="424"/>
      <c r="K229" s="424"/>
      <c r="L229" s="424"/>
      <c r="M229" s="424"/>
      <c r="N229" s="424"/>
      <c r="O229" s="424"/>
      <c r="P229" s="424"/>
      <c r="Q229" s="424"/>
      <c r="R229" s="424"/>
      <c r="S229" s="424"/>
      <c r="T229" s="424"/>
      <c r="U229" s="424"/>
      <c r="V229" s="424"/>
      <c r="W229" s="424"/>
      <c r="X229" s="424"/>
      <c r="Y229" s="424"/>
      <c r="Z229" s="424"/>
      <c r="AA229" s="424"/>
      <c r="AB229" s="424"/>
      <c r="AC229" s="424"/>
      <c r="AD229" s="123">
        <f t="shared" si="8"/>
        <v>0</v>
      </c>
      <c r="AE229" s="603"/>
      <c r="AF229" s="113">
        <f t="shared" si="7"/>
        <v>0</v>
      </c>
      <c r="AG229" s="465"/>
      <c r="AN229" s="77"/>
      <c r="AP229" s="377"/>
      <c r="AQ229" s="377"/>
      <c r="AR229" s="377"/>
      <c r="AS229" s="377"/>
      <c r="AT229" s="377"/>
      <c r="AU229" s="377"/>
      <c r="AV229" s="377"/>
      <c r="AW229" s="377"/>
      <c r="AX229" s="377"/>
      <c r="AY229" s="377"/>
      <c r="AZ229" s="377"/>
      <c r="BA229" s="377"/>
      <c r="BB229" s="377"/>
      <c r="BC229" s="377"/>
      <c r="BD229" s="377"/>
      <c r="BE229" s="377"/>
      <c r="BF229" s="377"/>
      <c r="BG229" s="377"/>
      <c r="BH229" s="377"/>
    </row>
    <row r="230" spans="1:60" s="3" customFormat="1" ht="14.25" x14ac:dyDescent="0.2">
      <c r="A230" s="425"/>
      <c r="B230" s="425"/>
      <c r="C230" s="426"/>
      <c r="D230" s="426"/>
      <c r="E230" s="426"/>
      <c r="F230" s="426"/>
      <c r="G230" s="426"/>
      <c r="H230" s="426"/>
      <c r="I230" s="426"/>
      <c r="J230" s="426"/>
      <c r="K230" s="426"/>
      <c r="L230" s="426"/>
      <c r="M230" s="426"/>
      <c r="N230" s="426"/>
      <c r="O230" s="426"/>
      <c r="P230" s="426"/>
      <c r="Q230" s="426"/>
      <c r="R230" s="426"/>
      <c r="S230" s="426"/>
      <c r="T230" s="426"/>
      <c r="U230" s="426"/>
      <c r="V230" s="426"/>
      <c r="W230" s="426"/>
      <c r="X230" s="426"/>
      <c r="Y230" s="426"/>
      <c r="Z230" s="426"/>
      <c r="AA230" s="426"/>
      <c r="AB230" s="426"/>
      <c r="AC230" s="426"/>
      <c r="AD230" s="161">
        <f t="shared" si="8"/>
        <v>0</v>
      </c>
      <c r="AE230" s="602"/>
      <c r="AF230" s="160">
        <f t="shared" si="7"/>
        <v>0</v>
      </c>
      <c r="AG230" s="627"/>
      <c r="AN230" s="77"/>
      <c r="AP230" s="377"/>
      <c r="AQ230" s="377"/>
      <c r="AR230" s="377"/>
      <c r="AS230" s="377"/>
      <c r="AT230" s="377"/>
      <c r="AU230" s="377"/>
      <c r="AV230" s="377"/>
      <c r="AW230" s="377"/>
      <c r="AX230" s="377"/>
      <c r="AY230" s="377"/>
      <c r="AZ230" s="377"/>
      <c r="BA230" s="377"/>
      <c r="BB230" s="377"/>
      <c r="BC230" s="377"/>
      <c r="BD230" s="377"/>
      <c r="BE230" s="377"/>
      <c r="BF230" s="377"/>
      <c r="BG230" s="377"/>
      <c r="BH230" s="377"/>
    </row>
    <row r="231" spans="1:60" s="3" customFormat="1" ht="14.25" x14ac:dyDescent="0.2">
      <c r="A231" s="423"/>
      <c r="B231" s="423"/>
      <c r="C231" s="424"/>
      <c r="D231" s="424"/>
      <c r="E231" s="424"/>
      <c r="F231" s="424"/>
      <c r="G231" s="424"/>
      <c r="H231" s="424"/>
      <c r="I231" s="424"/>
      <c r="J231" s="424"/>
      <c r="K231" s="424"/>
      <c r="L231" s="424"/>
      <c r="M231" s="424"/>
      <c r="N231" s="424"/>
      <c r="O231" s="424"/>
      <c r="P231" s="424"/>
      <c r="Q231" s="424"/>
      <c r="R231" s="424"/>
      <c r="S231" s="424"/>
      <c r="T231" s="424"/>
      <c r="U231" s="424"/>
      <c r="V231" s="424"/>
      <c r="W231" s="424"/>
      <c r="X231" s="424"/>
      <c r="Y231" s="424"/>
      <c r="Z231" s="424"/>
      <c r="AA231" s="424"/>
      <c r="AB231" s="424"/>
      <c r="AC231" s="424"/>
      <c r="AD231" s="123">
        <f t="shared" si="8"/>
        <v>0</v>
      </c>
      <c r="AE231" s="603"/>
      <c r="AF231" s="113">
        <f t="shared" si="7"/>
        <v>0</v>
      </c>
      <c r="AG231" s="465"/>
      <c r="AN231" s="77"/>
      <c r="AP231" s="377"/>
      <c r="AQ231" s="377"/>
      <c r="AR231" s="377"/>
      <c r="AS231" s="377"/>
      <c r="AT231" s="377"/>
      <c r="AU231" s="377"/>
      <c r="AV231" s="377"/>
      <c r="AW231" s="377"/>
      <c r="AX231" s="377"/>
      <c r="AY231" s="377"/>
      <c r="AZ231" s="377"/>
      <c r="BA231" s="377"/>
      <c r="BB231" s="377"/>
      <c r="BC231" s="377"/>
      <c r="BD231" s="377"/>
      <c r="BE231" s="377"/>
      <c r="BF231" s="377"/>
      <c r="BG231" s="377"/>
      <c r="BH231" s="377"/>
    </row>
    <row r="232" spans="1:60" s="3" customFormat="1" ht="14.25" x14ac:dyDescent="0.2">
      <c r="A232" s="425"/>
      <c r="B232" s="425"/>
      <c r="C232" s="426"/>
      <c r="D232" s="426"/>
      <c r="E232" s="426"/>
      <c r="F232" s="426"/>
      <c r="G232" s="426"/>
      <c r="H232" s="426"/>
      <c r="I232" s="426"/>
      <c r="J232" s="426"/>
      <c r="K232" s="426"/>
      <c r="L232" s="426"/>
      <c r="M232" s="426"/>
      <c r="N232" s="426"/>
      <c r="O232" s="426"/>
      <c r="P232" s="426"/>
      <c r="Q232" s="426"/>
      <c r="R232" s="426"/>
      <c r="S232" s="426"/>
      <c r="T232" s="426"/>
      <c r="U232" s="426"/>
      <c r="V232" s="426"/>
      <c r="W232" s="426"/>
      <c r="X232" s="426"/>
      <c r="Y232" s="426"/>
      <c r="Z232" s="426"/>
      <c r="AA232" s="426"/>
      <c r="AB232" s="426"/>
      <c r="AC232" s="426"/>
      <c r="AD232" s="161">
        <f t="shared" si="8"/>
        <v>0</v>
      </c>
      <c r="AE232" s="602"/>
      <c r="AF232" s="160">
        <f t="shared" si="7"/>
        <v>0</v>
      </c>
      <c r="AG232" s="627"/>
      <c r="AN232" s="77"/>
      <c r="AP232" s="377"/>
      <c r="AQ232" s="377"/>
      <c r="AR232" s="377"/>
      <c r="AS232" s="377"/>
      <c r="AT232" s="377"/>
      <c r="AU232" s="377"/>
      <c r="AV232" s="377"/>
      <c r="AW232" s="377"/>
      <c r="AX232" s="377"/>
      <c r="AY232" s="377"/>
      <c r="AZ232" s="377"/>
      <c r="BA232" s="377"/>
      <c r="BB232" s="377"/>
      <c r="BC232" s="377"/>
      <c r="BD232" s="377"/>
      <c r="BE232" s="377"/>
      <c r="BF232" s="377"/>
      <c r="BG232" s="377"/>
      <c r="BH232" s="377"/>
    </row>
    <row r="233" spans="1:60" s="3" customFormat="1" ht="14.25" x14ac:dyDescent="0.2">
      <c r="A233" s="423"/>
      <c r="B233" s="423"/>
      <c r="C233" s="424"/>
      <c r="D233" s="424"/>
      <c r="E233" s="424"/>
      <c r="F233" s="424"/>
      <c r="G233" s="424"/>
      <c r="H233" s="424"/>
      <c r="I233" s="424"/>
      <c r="J233" s="424"/>
      <c r="K233" s="424"/>
      <c r="L233" s="424"/>
      <c r="M233" s="424"/>
      <c r="N233" s="424"/>
      <c r="O233" s="424"/>
      <c r="P233" s="424"/>
      <c r="Q233" s="424"/>
      <c r="R233" s="424"/>
      <c r="S233" s="424"/>
      <c r="T233" s="424"/>
      <c r="U233" s="424"/>
      <c r="V233" s="424"/>
      <c r="W233" s="424"/>
      <c r="X233" s="424"/>
      <c r="Y233" s="424"/>
      <c r="Z233" s="424"/>
      <c r="AA233" s="424"/>
      <c r="AB233" s="424"/>
      <c r="AC233" s="424"/>
      <c r="AD233" s="123">
        <f t="shared" si="8"/>
        <v>0</v>
      </c>
      <c r="AE233" s="603"/>
      <c r="AF233" s="113">
        <f t="shared" si="7"/>
        <v>0</v>
      </c>
      <c r="AG233" s="465"/>
      <c r="AN233" s="77"/>
      <c r="AP233" s="377"/>
      <c r="AQ233" s="377"/>
      <c r="AR233" s="377"/>
      <c r="AS233" s="377"/>
      <c r="AT233" s="377"/>
      <c r="AU233" s="377"/>
      <c r="AV233" s="377"/>
      <c r="AW233" s="377"/>
      <c r="AX233" s="377"/>
      <c r="AY233" s="377"/>
      <c r="AZ233" s="377"/>
      <c r="BA233" s="377"/>
      <c r="BB233" s="377"/>
      <c r="BC233" s="377"/>
      <c r="BD233" s="377"/>
      <c r="BE233" s="377"/>
      <c r="BF233" s="377"/>
      <c r="BG233" s="377"/>
      <c r="BH233" s="377"/>
    </row>
    <row r="234" spans="1:60" s="3" customFormat="1" ht="14.25" x14ac:dyDescent="0.2">
      <c r="A234" s="425"/>
      <c r="B234" s="425"/>
      <c r="C234" s="426"/>
      <c r="D234" s="426"/>
      <c r="E234" s="426"/>
      <c r="F234" s="426"/>
      <c r="G234" s="426"/>
      <c r="H234" s="426"/>
      <c r="I234" s="426"/>
      <c r="J234" s="426"/>
      <c r="K234" s="426"/>
      <c r="L234" s="426"/>
      <c r="M234" s="426"/>
      <c r="N234" s="426"/>
      <c r="O234" s="426"/>
      <c r="P234" s="426"/>
      <c r="Q234" s="426"/>
      <c r="R234" s="426"/>
      <c r="S234" s="426"/>
      <c r="T234" s="426"/>
      <c r="U234" s="426"/>
      <c r="V234" s="426"/>
      <c r="W234" s="426"/>
      <c r="X234" s="426"/>
      <c r="Y234" s="426"/>
      <c r="Z234" s="426"/>
      <c r="AA234" s="426"/>
      <c r="AB234" s="426"/>
      <c r="AC234" s="426"/>
      <c r="AD234" s="161">
        <f t="shared" si="8"/>
        <v>0</v>
      </c>
      <c r="AE234" s="602"/>
      <c r="AF234" s="160">
        <f t="shared" si="7"/>
        <v>0</v>
      </c>
      <c r="AG234" s="627"/>
      <c r="AN234" s="77"/>
      <c r="AP234" s="377"/>
      <c r="AQ234" s="377"/>
      <c r="AR234" s="377"/>
      <c r="AS234" s="377"/>
      <c r="AT234" s="377"/>
      <c r="AU234" s="377"/>
      <c r="AV234" s="377"/>
      <c r="AW234" s="377"/>
      <c r="AX234" s="377"/>
      <c r="AY234" s="377"/>
      <c r="AZ234" s="377"/>
      <c r="BA234" s="377"/>
      <c r="BB234" s="377"/>
      <c r="BC234" s="377"/>
      <c r="BD234" s="377"/>
      <c r="BE234" s="377"/>
      <c r="BF234" s="377"/>
      <c r="BG234" s="377"/>
      <c r="BH234" s="377"/>
    </row>
    <row r="235" spans="1:60" s="3" customFormat="1" ht="14.25" x14ac:dyDescent="0.2">
      <c r="A235" s="423"/>
      <c r="B235" s="423"/>
      <c r="C235" s="424"/>
      <c r="D235" s="424"/>
      <c r="E235" s="424"/>
      <c r="F235" s="424"/>
      <c r="G235" s="424"/>
      <c r="H235" s="424"/>
      <c r="I235" s="424"/>
      <c r="J235" s="424"/>
      <c r="K235" s="424"/>
      <c r="L235" s="424"/>
      <c r="M235" s="424"/>
      <c r="N235" s="424"/>
      <c r="O235" s="424"/>
      <c r="P235" s="424"/>
      <c r="Q235" s="424"/>
      <c r="R235" s="424"/>
      <c r="S235" s="424"/>
      <c r="T235" s="424"/>
      <c r="U235" s="424"/>
      <c r="V235" s="424"/>
      <c r="W235" s="424"/>
      <c r="X235" s="424"/>
      <c r="Y235" s="424"/>
      <c r="Z235" s="424"/>
      <c r="AA235" s="424"/>
      <c r="AB235" s="424"/>
      <c r="AC235" s="424"/>
      <c r="AD235" s="123">
        <f t="shared" si="8"/>
        <v>0</v>
      </c>
      <c r="AE235" s="603"/>
      <c r="AF235" s="113">
        <f t="shared" si="7"/>
        <v>0</v>
      </c>
      <c r="AG235" s="465"/>
      <c r="AN235" s="77"/>
      <c r="AP235" s="377"/>
      <c r="AQ235" s="377"/>
      <c r="AR235" s="377"/>
      <c r="AS235" s="377"/>
      <c r="AT235" s="377"/>
      <c r="AU235" s="377"/>
      <c r="AV235" s="377"/>
      <c r="AW235" s="377"/>
      <c r="AX235" s="377"/>
      <c r="AY235" s="377"/>
      <c r="AZ235" s="377"/>
      <c r="BA235" s="377"/>
      <c r="BB235" s="377"/>
      <c r="BC235" s="377"/>
      <c r="BD235" s="377"/>
      <c r="BE235" s="377"/>
      <c r="BF235" s="377"/>
      <c r="BG235" s="377"/>
      <c r="BH235" s="377"/>
    </row>
    <row r="236" spans="1:60" s="3" customFormat="1" ht="14.25" x14ac:dyDescent="0.2">
      <c r="A236" s="425"/>
      <c r="B236" s="425"/>
      <c r="C236" s="426"/>
      <c r="D236" s="426"/>
      <c r="E236" s="426"/>
      <c r="F236" s="426"/>
      <c r="G236" s="426"/>
      <c r="H236" s="426"/>
      <c r="I236" s="426"/>
      <c r="J236" s="426"/>
      <c r="K236" s="426"/>
      <c r="L236" s="426"/>
      <c r="M236" s="426"/>
      <c r="N236" s="426"/>
      <c r="O236" s="426"/>
      <c r="P236" s="426"/>
      <c r="Q236" s="426"/>
      <c r="R236" s="426"/>
      <c r="S236" s="426"/>
      <c r="T236" s="426"/>
      <c r="U236" s="426"/>
      <c r="V236" s="426"/>
      <c r="W236" s="426"/>
      <c r="X236" s="426"/>
      <c r="Y236" s="426"/>
      <c r="Z236" s="426"/>
      <c r="AA236" s="426"/>
      <c r="AB236" s="426"/>
      <c r="AC236" s="426"/>
      <c r="AD236" s="161">
        <f t="shared" si="8"/>
        <v>0</v>
      </c>
      <c r="AE236" s="602"/>
      <c r="AF236" s="160">
        <f t="shared" si="7"/>
        <v>0</v>
      </c>
      <c r="AG236" s="627"/>
      <c r="AN236" s="77"/>
      <c r="AP236" s="377"/>
      <c r="AQ236" s="377"/>
      <c r="AR236" s="377"/>
      <c r="AS236" s="377"/>
      <c r="AT236" s="377"/>
      <c r="AU236" s="377"/>
      <c r="AV236" s="377"/>
      <c r="AW236" s="377"/>
      <c r="AX236" s="377"/>
      <c r="AY236" s="377"/>
      <c r="AZ236" s="377"/>
      <c r="BA236" s="377"/>
      <c r="BB236" s="377"/>
      <c r="BC236" s="377"/>
      <c r="BD236" s="377"/>
      <c r="BE236" s="377"/>
      <c r="BF236" s="377"/>
      <c r="BG236" s="377"/>
      <c r="BH236" s="377"/>
    </row>
    <row r="237" spans="1:60" s="3" customFormat="1" ht="14.25" x14ac:dyDescent="0.2">
      <c r="A237" s="423"/>
      <c r="B237" s="423"/>
      <c r="C237" s="424"/>
      <c r="D237" s="424"/>
      <c r="E237" s="424"/>
      <c r="F237" s="424"/>
      <c r="G237" s="424"/>
      <c r="H237" s="424"/>
      <c r="I237" s="424"/>
      <c r="J237" s="424"/>
      <c r="K237" s="424"/>
      <c r="L237" s="424"/>
      <c r="M237" s="424"/>
      <c r="N237" s="424"/>
      <c r="O237" s="424"/>
      <c r="P237" s="424"/>
      <c r="Q237" s="424"/>
      <c r="R237" s="424"/>
      <c r="S237" s="424"/>
      <c r="T237" s="424"/>
      <c r="U237" s="424"/>
      <c r="V237" s="424"/>
      <c r="W237" s="424"/>
      <c r="X237" s="424"/>
      <c r="Y237" s="424"/>
      <c r="Z237" s="424"/>
      <c r="AA237" s="424"/>
      <c r="AB237" s="424"/>
      <c r="AC237" s="424"/>
      <c r="AD237" s="123">
        <f t="shared" si="8"/>
        <v>0</v>
      </c>
      <c r="AE237" s="603"/>
      <c r="AF237" s="113">
        <f t="shared" si="7"/>
        <v>0</v>
      </c>
      <c r="AG237" s="465"/>
      <c r="AN237" s="77"/>
      <c r="AP237" s="377"/>
      <c r="AQ237" s="377"/>
      <c r="AR237" s="377"/>
      <c r="AS237" s="377"/>
      <c r="AT237" s="377"/>
      <c r="AU237" s="377"/>
      <c r="AV237" s="377"/>
      <c r="AW237" s="377"/>
      <c r="AX237" s="377"/>
      <c r="AY237" s="377"/>
      <c r="AZ237" s="377"/>
      <c r="BA237" s="377"/>
      <c r="BB237" s="377"/>
      <c r="BC237" s="377"/>
      <c r="BD237" s="377"/>
      <c r="BE237" s="377"/>
      <c r="BF237" s="377"/>
      <c r="BG237" s="377"/>
      <c r="BH237" s="377"/>
    </row>
    <row r="238" spans="1:60" s="3" customFormat="1" ht="14.25" x14ac:dyDescent="0.2">
      <c r="A238" s="425"/>
      <c r="B238" s="425"/>
      <c r="C238" s="426"/>
      <c r="D238" s="426"/>
      <c r="E238" s="426"/>
      <c r="F238" s="426"/>
      <c r="G238" s="426"/>
      <c r="H238" s="426"/>
      <c r="I238" s="426"/>
      <c r="J238" s="426"/>
      <c r="K238" s="426"/>
      <c r="L238" s="426"/>
      <c r="M238" s="426"/>
      <c r="N238" s="426"/>
      <c r="O238" s="426"/>
      <c r="P238" s="426"/>
      <c r="Q238" s="426"/>
      <c r="R238" s="426"/>
      <c r="S238" s="426"/>
      <c r="T238" s="426"/>
      <c r="U238" s="426"/>
      <c r="V238" s="426"/>
      <c r="W238" s="426"/>
      <c r="X238" s="426"/>
      <c r="Y238" s="426"/>
      <c r="Z238" s="426"/>
      <c r="AA238" s="426"/>
      <c r="AB238" s="426"/>
      <c r="AC238" s="426"/>
      <c r="AD238" s="161">
        <f t="shared" si="8"/>
        <v>0</v>
      </c>
      <c r="AE238" s="602"/>
      <c r="AF238" s="160">
        <f t="shared" si="7"/>
        <v>0</v>
      </c>
      <c r="AG238" s="627"/>
      <c r="AN238" s="77"/>
      <c r="AP238" s="377"/>
      <c r="AQ238" s="377"/>
      <c r="AR238" s="377"/>
      <c r="AS238" s="377"/>
      <c r="AT238" s="377"/>
      <c r="AU238" s="377"/>
      <c r="AV238" s="377"/>
      <c r="AW238" s="377"/>
      <c r="AX238" s="377"/>
      <c r="AY238" s="377"/>
      <c r="AZ238" s="377"/>
      <c r="BA238" s="377"/>
      <c r="BB238" s="377"/>
      <c r="BC238" s="377"/>
      <c r="BD238" s="377"/>
      <c r="BE238" s="377"/>
      <c r="BF238" s="377"/>
      <c r="BG238" s="377"/>
      <c r="BH238" s="377"/>
    </row>
    <row r="239" spans="1:60" s="3" customFormat="1" ht="14.25" x14ac:dyDescent="0.2">
      <c r="A239" s="423"/>
      <c r="B239" s="423"/>
      <c r="C239" s="424"/>
      <c r="D239" s="424"/>
      <c r="E239" s="424"/>
      <c r="F239" s="424"/>
      <c r="G239" s="424"/>
      <c r="H239" s="424"/>
      <c r="I239" s="424"/>
      <c r="J239" s="424"/>
      <c r="K239" s="424"/>
      <c r="L239" s="424"/>
      <c r="M239" s="424"/>
      <c r="N239" s="424"/>
      <c r="O239" s="424"/>
      <c r="P239" s="424"/>
      <c r="Q239" s="424"/>
      <c r="R239" s="424"/>
      <c r="S239" s="424"/>
      <c r="T239" s="424"/>
      <c r="U239" s="424"/>
      <c r="V239" s="424"/>
      <c r="W239" s="424"/>
      <c r="X239" s="424"/>
      <c r="Y239" s="424"/>
      <c r="Z239" s="424"/>
      <c r="AA239" s="424"/>
      <c r="AB239" s="424"/>
      <c r="AC239" s="424"/>
      <c r="AD239" s="123">
        <f t="shared" si="8"/>
        <v>0</v>
      </c>
      <c r="AE239" s="603"/>
      <c r="AF239" s="113">
        <f t="shared" si="7"/>
        <v>0</v>
      </c>
      <c r="AG239" s="465"/>
      <c r="AN239" s="77"/>
      <c r="AP239" s="377"/>
      <c r="AQ239" s="377"/>
      <c r="AR239" s="377"/>
      <c r="AS239" s="377"/>
      <c r="AT239" s="377"/>
      <c r="AU239" s="377"/>
      <c r="AV239" s="377"/>
      <c r="AW239" s="377"/>
      <c r="AX239" s="377"/>
      <c r="AY239" s="377"/>
      <c r="AZ239" s="377"/>
      <c r="BA239" s="377"/>
      <c r="BB239" s="377"/>
      <c r="BC239" s="377"/>
      <c r="BD239" s="377"/>
      <c r="BE239" s="377"/>
      <c r="BF239" s="377"/>
      <c r="BG239" s="377"/>
      <c r="BH239" s="377"/>
    </row>
    <row r="240" spans="1:60" s="3" customFormat="1" ht="14.25" x14ac:dyDescent="0.2">
      <c r="A240" s="425"/>
      <c r="B240" s="425"/>
      <c r="C240" s="426"/>
      <c r="D240" s="426"/>
      <c r="E240" s="426"/>
      <c r="F240" s="426"/>
      <c r="G240" s="426"/>
      <c r="H240" s="426"/>
      <c r="I240" s="426"/>
      <c r="J240" s="426"/>
      <c r="K240" s="426"/>
      <c r="L240" s="426"/>
      <c r="M240" s="426"/>
      <c r="N240" s="426"/>
      <c r="O240" s="426"/>
      <c r="P240" s="426"/>
      <c r="Q240" s="426"/>
      <c r="R240" s="426"/>
      <c r="S240" s="426"/>
      <c r="T240" s="426"/>
      <c r="U240" s="426"/>
      <c r="V240" s="426"/>
      <c r="W240" s="426"/>
      <c r="X240" s="426"/>
      <c r="Y240" s="426"/>
      <c r="Z240" s="426"/>
      <c r="AA240" s="426"/>
      <c r="AB240" s="426"/>
      <c r="AC240" s="426"/>
      <c r="AD240" s="161">
        <f t="shared" si="8"/>
        <v>0</v>
      </c>
      <c r="AE240" s="602"/>
      <c r="AF240" s="160">
        <f t="shared" si="7"/>
        <v>0</v>
      </c>
      <c r="AG240" s="627"/>
      <c r="AN240" s="77"/>
      <c r="AP240" s="377"/>
      <c r="AQ240" s="377"/>
      <c r="AR240" s="377"/>
      <c r="AS240" s="377"/>
      <c r="AT240" s="377"/>
      <c r="AU240" s="377"/>
      <c r="AV240" s="377"/>
      <c r="AW240" s="377"/>
      <c r="AX240" s="377"/>
      <c r="AY240" s="377"/>
      <c r="AZ240" s="377"/>
      <c r="BA240" s="377"/>
      <c r="BB240" s="377"/>
      <c r="BC240" s="377"/>
      <c r="BD240" s="377"/>
      <c r="BE240" s="377"/>
      <c r="BF240" s="377"/>
      <c r="BG240" s="377"/>
      <c r="BH240" s="377"/>
    </row>
    <row r="241" spans="1:60" s="3" customFormat="1" ht="14.25" x14ac:dyDescent="0.2">
      <c r="A241" s="423"/>
      <c r="B241" s="423"/>
      <c r="C241" s="424"/>
      <c r="D241" s="424"/>
      <c r="E241" s="424"/>
      <c r="F241" s="424"/>
      <c r="G241" s="424"/>
      <c r="H241" s="424"/>
      <c r="I241" s="424"/>
      <c r="J241" s="424"/>
      <c r="K241" s="424"/>
      <c r="L241" s="424"/>
      <c r="M241" s="424"/>
      <c r="N241" s="424"/>
      <c r="O241" s="424"/>
      <c r="P241" s="424"/>
      <c r="Q241" s="424"/>
      <c r="R241" s="424"/>
      <c r="S241" s="424"/>
      <c r="T241" s="424"/>
      <c r="U241" s="424"/>
      <c r="V241" s="424"/>
      <c r="W241" s="424"/>
      <c r="X241" s="424"/>
      <c r="Y241" s="424"/>
      <c r="Z241" s="424"/>
      <c r="AA241" s="424"/>
      <c r="AB241" s="424"/>
      <c r="AC241" s="424"/>
      <c r="AD241" s="123">
        <f t="shared" si="8"/>
        <v>0</v>
      </c>
      <c r="AE241" s="603"/>
      <c r="AF241" s="113">
        <f t="shared" si="7"/>
        <v>0</v>
      </c>
      <c r="AG241" s="465"/>
      <c r="AN241" s="77"/>
      <c r="AP241" s="377"/>
      <c r="AQ241" s="377"/>
      <c r="AR241" s="377"/>
      <c r="AS241" s="377"/>
      <c r="AT241" s="377"/>
      <c r="AU241" s="377"/>
      <c r="AV241" s="377"/>
      <c r="AW241" s="377"/>
      <c r="AX241" s="377"/>
      <c r="AY241" s="377"/>
      <c r="AZ241" s="377"/>
      <c r="BA241" s="377"/>
      <c r="BB241" s="377"/>
      <c r="BC241" s="377"/>
      <c r="BD241" s="377"/>
      <c r="BE241" s="377"/>
      <c r="BF241" s="377"/>
      <c r="BG241" s="377"/>
      <c r="BH241" s="377"/>
    </row>
    <row r="242" spans="1:60" s="3" customFormat="1" ht="14.25" x14ac:dyDescent="0.2">
      <c r="A242" s="425"/>
      <c r="B242" s="425"/>
      <c r="C242" s="426"/>
      <c r="D242" s="426"/>
      <c r="E242" s="426"/>
      <c r="F242" s="426"/>
      <c r="G242" s="426"/>
      <c r="H242" s="426"/>
      <c r="I242" s="426"/>
      <c r="J242" s="426"/>
      <c r="K242" s="426"/>
      <c r="L242" s="426"/>
      <c r="M242" s="426"/>
      <c r="N242" s="426"/>
      <c r="O242" s="426"/>
      <c r="P242" s="426"/>
      <c r="Q242" s="426"/>
      <c r="R242" s="426"/>
      <c r="S242" s="426"/>
      <c r="T242" s="426"/>
      <c r="U242" s="426"/>
      <c r="V242" s="426"/>
      <c r="W242" s="426"/>
      <c r="X242" s="426"/>
      <c r="Y242" s="426"/>
      <c r="Z242" s="426"/>
      <c r="AA242" s="426"/>
      <c r="AB242" s="426"/>
      <c r="AC242" s="426"/>
      <c r="AD242" s="161">
        <f t="shared" si="8"/>
        <v>0</v>
      </c>
      <c r="AE242" s="602"/>
      <c r="AF242" s="160">
        <f t="shared" si="7"/>
        <v>0</v>
      </c>
      <c r="AG242" s="627"/>
      <c r="AN242" s="77"/>
      <c r="AP242" s="377"/>
      <c r="AQ242" s="377"/>
      <c r="AR242" s="377"/>
      <c r="AS242" s="377"/>
      <c r="AT242" s="377"/>
      <c r="AU242" s="377"/>
      <c r="AV242" s="377"/>
      <c r="AW242" s="377"/>
      <c r="AX242" s="377"/>
      <c r="AY242" s="377"/>
      <c r="AZ242" s="377"/>
      <c r="BA242" s="377"/>
      <c r="BB242" s="377"/>
      <c r="BC242" s="377"/>
      <c r="BD242" s="377"/>
      <c r="BE242" s="377"/>
      <c r="BF242" s="377"/>
      <c r="BG242" s="377"/>
      <c r="BH242" s="377"/>
    </row>
    <row r="243" spans="1:60" s="3" customFormat="1" ht="14.25" x14ac:dyDescent="0.2">
      <c r="A243" s="423"/>
      <c r="B243" s="423"/>
      <c r="C243" s="424"/>
      <c r="D243" s="424"/>
      <c r="E243" s="424"/>
      <c r="F243" s="424"/>
      <c r="G243" s="424"/>
      <c r="H243" s="424"/>
      <c r="I243" s="424"/>
      <c r="J243" s="424"/>
      <c r="K243" s="424"/>
      <c r="L243" s="424"/>
      <c r="M243" s="424"/>
      <c r="N243" s="424"/>
      <c r="O243" s="424"/>
      <c r="P243" s="424"/>
      <c r="Q243" s="424"/>
      <c r="R243" s="424"/>
      <c r="S243" s="424"/>
      <c r="T243" s="424"/>
      <c r="U243" s="424"/>
      <c r="V243" s="424"/>
      <c r="W243" s="424"/>
      <c r="X243" s="424"/>
      <c r="Y243" s="424"/>
      <c r="Z243" s="424"/>
      <c r="AA243" s="424"/>
      <c r="AB243" s="424"/>
      <c r="AC243" s="424"/>
      <c r="AD243" s="123">
        <f t="shared" si="8"/>
        <v>0</v>
      </c>
      <c r="AE243" s="603"/>
      <c r="AF243" s="113">
        <f t="shared" si="7"/>
        <v>0</v>
      </c>
      <c r="AG243" s="465"/>
      <c r="AN243" s="77"/>
      <c r="AP243" s="377"/>
      <c r="AQ243" s="377"/>
      <c r="AR243" s="377"/>
      <c r="AS243" s="377"/>
      <c r="AT243" s="377"/>
      <c r="AU243" s="377"/>
      <c r="AV243" s="377"/>
      <c r="AW243" s="377"/>
      <c r="AX243" s="377"/>
      <c r="AY243" s="377"/>
      <c r="AZ243" s="377"/>
      <c r="BA243" s="377"/>
      <c r="BB243" s="377"/>
      <c r="BC243" s="377"/>
      <c r="BD243" s="377"/>
      <c r="BE243" s="377"/>
      <c r="BF243" s="377"/>
      <c r="BG243" s="377"/>
      <c r="BH243" s="377"/>
    </row>
    <row r="244" spans="1:60" s="3" customFormat="1" ht="14.25" x14ac:dyDescent="0.2">
      <c r="A244" s="425"/>
      <c r="B244" s="425"/>
      <c r="C244" s="426"/>
      <c r="D244" s="426"/>
      <c r="E244" s="426"/>
      <c r="F244" s="426"/>
      <c r="G244" s="426"/>
      <c r="H244" s="426"/>
      <c r="I244" s="426"/>
      <c r="J244" s="426"/>
      <c r="K244" s="426"/>
      <c r="L244" s="426"/>
      <c r="M244" s="426"/>
      <c r="N244" s="426"/>
      <c r="O244" s="426"/>
      <c r="P244" s="426"/>
      <c r="Q244" s="426"/>
      <c r="R244" s="426"/>
      <c r="S244" s="426"/>
      <c r="T244" s="426"/>
      <c r="U244" s="426"/>
      <c r="V244" s="426"/>
      <c r="W244" s="426"/>
      <c r="X244" s="426"/>
      <c r="Y244" s="426"/>
      <c r="Z244" s="426"/>
      <c r="AA244" s="426"/>
      <c r="AB244" s="426"/>
      <c r="AC244" s="426"/>
      <c r="AD244" s="161">
        <f t="shared" si="8"/>
        <v>0</v>
      </c>
      <c r="AE244" s="602"/>
      <c r="AF244" s="160">
        <f t="shared" si="7"/>
        <v>0</v>
      </c>
      <c r="AG244" s="627"/>
      <c r="AN244" s="77"/>
      <c r="AP244" s="377"/>
      <c r="AQ244" s="377"/>
      <c r="AR244" s="377"/>
      <c r="AS244" s="377"/>
      <c r="AT244" s="377"/>
      <c r="AU244" s="377"/>
      <c r="AV244" s="377"/>
      <c r="AW244" s="377"/>
      <c r="AX244" s="377"/>
      <c r="AY244" s="377"/>
      <c r="AZ244" s="377"/>
      <c r="BA244" s="377"/>
      <c r="BB244" s="377"/>
      <c r="BC244" s="377"/>
      <c r="BD244" s="377"/>
      <c r="BE244" s="377"/>
      <c r="BF244" s="377"/>
      <c r="BG244" s="377"/>
      <c r="BH244" s="377"/>
    </row>
    <row r="245" spans="1:60" s="3" customFormat="1" ht="14.25" x14ac:dyDescent="0.2">
      <c r="A245" s="423"/>
      <c r="B245" s="423"/>
      <c r="C245" s="424"/>
      <c r="D245" s="424"/>
      <c r="E245" s="424"/>
      <c r="F245" s="424"/>
      <c r="G245" s="424"/>
      <c r="H245" s="424"/>
      <c r="I245" s="424"/>
      <c r="J245" s="424"/>
      <c r="K245" s="424"/>
      <c r="L245" s="424"/>
      <c r="M245" s="424"/>
      <c r="N245" s="424"/>
      <c r="O245" s="424"/>
      <c r="P245" s="424"/>
      <c r="Q245" s="424"/>
      <c r="R245" s="424"/>
      <c r="S245" s="424"/>
      <c r="T245" s="424"/>
      <c r="U245" s="424"/>
      <c r="V245" s="424"/>
      <c r="W245" s="424"/>
      <c r="X245" s="424"/>
      <c r="Y245" s="424"/>
      <c r="Z245" s="424"/>
      <c r="AA245" s="424"/>
      <c r="AB245" s="424"/>
      <c r="AC245" s="424"/>
      <c r="AD245" s="123">
        <f t="shared" si="8"/>
        <v>0</v>
      </c>
      <c r="AE245" s="603"/>
      <c r="AF245" s="113">
        <f t="shared" si="7"/>
        <v>0</v>
      </c>
      <c r="AG245" s="465"/>
      <c r="AN245" s="77"/>
      <c r="AP245" s="377"/>
      <c r="AQ245" s="377"/>
      <c r="AR245" s="377"/>
      <c r="AS245" s="377"/>
      <c r="AT245" s="377"/>
      <c r="AU245" s="377"/>
      <c r="AV245" s="377"/>
      <c r="AW245" s="377"/>
      <c r="AX245" s="377"/>
      <c r="AY245" s="377"/>
      <c r="AZ245" s="377"/>
      <c r="BA245" s="377"/>
      <c r="BB245" s="377"/>
      <c r="BC245" s="377"/>
      <c r="BD245" s="377"/>
      <c r="BE245" s="377"/>
      <c r="BF245" s="377"/>
      <c r="BG245" s="377"/>
      <c r="BH245" s="377"/>
    </row>
    <row r="246" spans="1:60" s="3" customFormat="1" ht="14.25" x14ac:dyDescent="0.2">
      <c r="A246" s="425"/>
      <c r="B246" s="425"/>
      <c r="C246" s="426"/>
      <c r="D246" s="426"/>
      <c r="E246" s="426"/>
      <c r="F246" s="426"/>
      <c r="G246" s="426"/>
      <c r="H246" s="426"/>
      <c r="I246" s="426"/>
      <c r="J246" s="426"/>
      <c r="K246" s="426"/>
      <c r="L246" s="426"/>
      <c r="M246" s="426"/>
      <c r="N246" s="426"/>
      <c r="O246" s="426"/>
      <c r="P246" s="426"/>
      <c r="Q246" s="426"/>
      <c r="R246" s="426"/>
      <c r="S246" s="426"/>
      <c r="T246" s="426"/>
      <c r="U246" s="426"/>
      <c r="V246" s="426"/>
      <c r="W246" s="426"/>
      <c r="X246" s="426"/>
      <c r="Y246" s="426"/>
      <c r="Z246" s="426"/>
      <c r="AA246" s="426"/>
      <c r="AB246" s="426"/>
      <c r="AC246" s="426"/>
      <c r="AD246" s="161">
        <f t="shared" si="8"/>
        <v>0</v>
      </c>
      <c r="AE246" s="602"/>
      <c r="AF246" s="160">
        <f t="shared" si="7"/>
        <v>0</v>
      </c>
      <c r="AG246" s="627"/>
      <c r="AN246" s="77"/>
      <c r="AP246" s="377"/>
      <c r="AQ246" s="377"/>
      <c r="AR246" s="377"/>
      <c r="AS246" s="377"/>
      <c r="AT246" s="377"/>
      <c r="AU246" s="377"/>
      <c r="AV246" s="377"/>
      <c r="AW246" s="377"/>
      <c r="AX246" s="377"/>
      <c r="AY246" s="377"/>
      <c r="AZ246" s="377"/>
      <c r="BA246" s="377"/>
      <c r="BB246" s="377"/>
      <c r="BC246" s="377"/>
      <c r="BD246" s="377"/>
      <c r="BE246" s="377"/>
      <c r="BF246" s="377"/>
      <c r="BG246" s="377"/>
      <c r="BH246" s="377"/>
    </row>
    <row r="247" spans="1:60" s="3" customFormat="1" ht="14.25" x14ac:dyDescent="0.2">
      <c r="A247" s="423"/>
      <c r="B247" s="423"/>
      <c r="C247" s="424"/>
      <c r="D247" s="424"/>
      <c r="E247" s="424"/>
      <c r="F247" s="424"/>
      <c r="G247" s="424"/>
      <c r="H247" s="424"/>
      <c r="I247" s="424"/>
      <c r="J247" s="424"/>
      <c r="K247" s="424"/>
      <c r="L247" s="424"/>
      <c r="M247" s="424"/>
      <c r="N247" s="424"/>
      <c r="O247" s="424"/>
      <c r="P247" s="424"/>
      <c r="Q247" s="424"/>
      <c r="R247" s="424"/>
      <c r="S247" s="424"/>
      <c r="T247" s="424"/>
      <c r="U247" s="424"/>
      <c r="V247" s="424"/>
      <c r="W247" s="424"/>
      <c r="X247" s="424"/>
      <c r="Y247" s="424"/>
      <c r="Z247" s="424"/>
      <c r="AA247" s="424"/>
      <c r="AB247" s="424"/>
      <c r="AC247" s="424"/>
      <c r="AD247" s="123">
        <f t="shared" si="8"/>
        <v>0</v>
      </c>
      <c r="AE247" s="603"/>
      <c r="AF247" s="113">
        <f t="shared" si="7"/>
        <v>0</v>
      </c>
      <c r="AG247" s="465"/>
      <c r="AN247" s="77"/>
      <c r="AP247" s="377"/>
      <c r="AQ247" s="377"/>
      <c r="AR247" s="377"/>
      <c r="AS247" s="377"/>
      <c r="AT247" s="377"/>
      <c r="AU247" s="377"/>
      <c r="AV247" s="377"/>
      <c r="AW247" s="377"/>
      <c r="AX247" s="377"/>
      <c r="AY247" s="377"/>
      <c r="AZ247" s="377"/>
      <c r="BA247" s="377"/>
      <c r="BB247" s="377"/>
      <c r="BC247" s="377"/>
      <c r="BD247" s="377"/>
      <c r="BE247" s="377"/>
      <c r="BF247" s="377"/>
      <c r="BG247" s="377"/>
      <c r="BH247" s="377"/>
    </row>
    <row r="248" spans="1:60" s="3" customFormat="1" ht="14.25" x14ac:dyDescent="0.2">
      <c r="A248" s="425"/>
      <c r="B248" s="425"/>
      <c r="C248" s="426"/>
      <c r="D248" s="426"/>
      <c r="E248" s="426"/>
      <c r="F248" s="426"/>
      <c r="G248" s="426"/>
      <c r="H248" s="426"/>
      <c r="I248" s="426"/>
      <c r="J248" s="426"/>
      <c r="K248" s="426"/>
      <c r="L248" s="426"/>
      <c r="M248" s="426"/>
      <c r="N248" s="426"/>
      <c r="O248" s="426"/>
      <c r="P248" s="426"/>
      <c r="Q248" s="426"/>
      <c r="R248" s="426"/>
      <c r="S248" s="426"/>
      <c r="T248" s="426"/>
      <c r="U248" s="426"/>
      <c r="V248" s="426"/>
      <c r="W248" s="426"/>
      <c r="X248" s="426"/>
      <c r="Y248" s="426"/>
      <c r="Z248" s="426"/>
      <c r="AA248" s="426"/>
      <c r="AB248" s="426"/>
      <c r="AC248" s="426"/>
      <c r="AD248" s="161">
        <f t="shared" si="8"/>
        <v>0</v>
      </c>
      <c r="AE248" s="602"/>
      <c r="AF248" s="160">
        <f t="shared" si="7"/>
        <v>0</v>
      </c>
      <c r="AG248" s="627"/>
      <c r="AN248" s="77"/>
      <c r="AP248" s="377"/>
      <c r="AQ248" s="377"/>
      <c r="AR248" s="377"/>
      <c r="AS248" s="377"/>
      <c r="AT248" s="377"/>
      <c r="AU248" s="377"/>
      <c r="AV248" s="377"/>
      <c r="AW248" s="377"/>
      <c r="AX248" s="377"/>
      <c r="AY248" s="377"/>
      <c r="AZ248" s="377"/>
      <c r="BA248" s="377"/>
      <c r="BB248" s="377"/>
      <c r="BC248" s="377"/>
      <c r="BD248" s="377"/>
      <c r="BE248" s="377"/>
      <c r="BF248" s="377"/>
      <c r="BG248" s="377"/>
      <c r="BH248" s="377"/>
    </row>
    <row r="249" spans="1:60" s="3" customFormat="1" ht="14.25" x14ac:dyDescent="0.2">
      <c r="A249" s="423"/>
      <c r="B249" s="423"/>
      <c r="C249" s="424"/>
      <c r="D249" s="424"/>
      <c r="E249" s="424"/>
      <c r="F249" s="424"/>
      <c r="G249" s="424"/>
      <c r="H249" s="424"/>
      <c r="I249" s="424"/>
      <c r="J249" s="424"/>
      <c r="K249" s="424"/>
      <c r="L249" s="424"/>
      <c r="M249" s="424"/>
      <c r="N249" s="424"/>
      <c r="O249" s="424"/>
      <c r="P249" s="424"/>
      <c r="Q249" s="424"/>
      <c r="R249" s="424"/>
      <c r="S249" s="424"/>
      <c r="T249" s="424"/>
      <c r="U249" s="424"/>
      <c r="V249" s="424"/>
      <c r="W249" s="424"/>
      <c r="X249" s="424"/>
      <c r="Y249" s="424"/>
      <c r="Z249" s="424"/>
      <c r="AA249" s="424"/>
      <c r="AB249" s="424"/>
      <c r="AC249" s="424"/>
      <c r="AD249" s="123">
        <f t="shared" si="8"/>
        <v>0</v>
      </c>
      <c r="AE249" s="603"/>
      <c r="AF249" s="113">
        <f t="shared" si="7"/>
        <v>0</v>
      </c>
      <c r="AG249" s="465"/>
      <c r="AN249" s="77"/>
      <c r="AP249" s="377"/>
      <c r="AQ249" s="377"/>
      <c r="AR249" s="377"/>
      <c r="AS249" s="377"/>
      <c r="AT249" s="377"/>
      <c r="AU249" s="377"/>
      <c r="AV249" s="377"/>
      <c r="AW249" s="377"/>
      <c r="AX249" s="377"/>
      <c r="AY249" s="377"/>
      <c r="AZ249" s="377"/>
      <c r="BA249" s="377"/>
      <c r="BB249" s="377"/>
      <c r="BC249" s="377"/>
      <c r="BD249" s="377"/>
      <c r="BE249" s="377"/>
      <c r="BF249" s="377"/>
      <c r="BG249" s="377"/>
      <c r="BH249" s="377"/>
    </row>
    <row r="250" spans="1:60" s="3" customFormat="1" ht="14.25" x14ac:dyDescent="0.2">
      <c r="A250" s="425"/>
      <c r="B250" s="425"/>
      <c r="C250" s="426"/>
      <c r="D250" s="426"/>
      <c r="E250" s="426"/>
      <c r="F250" s="426"/>
      <c r="G250" s="426"/>
      <c r="H250" s="426"/>
      <c r="I250" s="426"/>
      <c r="J250" s="426"/>
      <c r="K250" s="426"/>
      <c r="L250" s="426"/>
      <c r="M250" s="426"/>
      <c r="N250" s="426"/>
      <c r="O250" s="426"/>
      <c r="P250" s="426"/>
      <c r="Q250" s="426"/>
      <c r="R250" s="426"/>
      <c r="S250" s="426"/>
      <c r="T250" s="426"/>
      <c r="U250" s="426"/>
      <c r="V250" s="426"/>
      <c r="W250" s="426"/>
      <c r="X250" s="426"/>
      <c r="Y250" s="426"/>
      <c r="Z250" s="426"/>
      <c r="AA250" s="426"/>
      <c r="AB250" s="426"/>
      <c r="AC250" s="426"/>
      <c r="AD250" s="161">
        <f t="shared" si="8"/>
        <v>0</v>
      </c>
      <c r="AE250" s="602"/>
      <c r="AF250" s="160">
        <f t="shared" si="7"/>
        <v>0</v>
      </c>
      <c r="AG250" s="627"/>
      <c r="AN250" s="77"/>
      <c r="AP250" s="377"/>
      <c r="AQ250" s="377"/>
      <c r="AR250" s="377"/>
      <c r="AS250" s="377"/>
      <c r="AT250" s="377"/>
      <c r="AU250" s="377"/>
      <c r="AV250" s="377"/>
      <c r="AW250" s="377"/>
      <c r="AX250" s="377"/>
      <c r="AY250" s="377"/>
      <c r="AZ250" s="377"/>
      <c r="BA250" s="377"/>
      <c r="BB250" s="377"/>
      <c r="BC250" s="377"/>
      <c r="BD250" s="377"/>
      <c r="BE250" s="377"/>
      <c r="BF250" s="377"/>
      <c r="BG250" s="377"/>
      <c r="BH250" s="377"/>
    </row>
    <row r="251" spans="1:60" s="3" customFormat="1" ht="14.25" x14ac:dyDescent="0.2">
      <c r="A251" s="423"/>
      <c r="B251" s="423"/>
      <c r="C251" s="424"/>
      <c r="D251" s="424"/>
      <c r="E251" s="424"/>
      <c r="F251" s="424"/>
      <c r="G251" s="424"/>
      <c r="H251" s="424"/>
      <c r="I251" s="424"/>
      <c r="J251" s="424"/>
      <c r="K251" s="424"/>
      <c r="L251" s="424"/>
      <c r="M251" s="424"/>
      <c r="N251" s="424"/>
      <c r="O251" s="424"/>
      <c r="P251" s="424"/>
      <c r="Q251" s="424"/>
      <c r="R251" s="424"/>
      <c r="S251" s="424"/>
      <c r="T251" s="424"/>
      <c r="U251" s="424"/>
      <c r="V251" s="424"/>
      <c r="W251" s="424"/>
      <c r="X251" s="424"/>
      <c r="Y251" s="424"/>
      <c r="Z251" s="424"/>
      <c r="AA251" s="424"/>
      <c r="AB251" s="424"/>
      <c r="AC251" s="424"/>
      <c r="AD251" s="123">
        <f t="shared" si="8"/>
        <v>0</v>
      </c>
      <c r="AE251" s="603"/>
      <c r="AF251" s="113">
        <f t="shared" si="7"/>
        <v>0</v>
      </c>
      <c r="AG251" s="465"/>
      <c r="AN251" s="77"/>
      <c r="AP251" s="377"/>
      <c r="AQ251" s="377"/>
      <c r="AR251" s="377"/>
      <c r="AS251" s="377"/>
      <c r="AT251" s="377"/>
      <c r="AU251" s="377"/>
      <c r="AV251" s="377"/>
      <c r="AW251" s="377"/>
      <c r="AX251" s="377"/>
      <c r="AY251" s="377"/>
      <c r="AZ251" s="377"/>
      <c r="BA251" s="377"/>
      <c r="BB251" s="377"/>
      <c r="BC251" s="377"/>
      <c r="BD251" s="377"/>
      <c r="BE251" s="377"/>
      <c r="BF251" s="377"/>
      <c r="BG251" s="377"/>
      <c r="BH251" s="377"/>
    </row>
    <row r="252" spans="1:60" s="3" customFormat="1" ht="14.25" x14ac:dyDescent="0.2">
      <c r="A252" s="425"/>
      <c r="B252" s="425"/>
      <c r="C252" s="426"/>
      <c r="D252" s="426"/>
      <c r="E252" s="426"/>
      <c r="F252" s="426"/>
      <c r="G252" s="426"/>
      <c r="H252" s="426"/>
      <c r="I252" s="426"/>
      <c r="J252" s="426"/>
      <c r="K252" s="426"/>
      <c r="L252" s="426"/>
      <c r="M252" s="426"/>
      <c r="N252" s="426"/>
      <c r="O252" s="426"/>
      <c r="P252" s="426"/>
      <c r="Q252" s="426"/>
      <c r="R252" s="426"/>
      <c r="S252" s="426"/>
      <c r="T252" s="426"/>
      <c r="U252" s="426"/>
      <c r="V252" s="426"/>
      <c r="W252" s="426"/>
      <c r="X252" s="426"/>
      <c r="Y252" s="426"/>
      <c r="Z252" s="426"/>
      <c r="AA252" s="426"/>
      <c r="AB252" s="426"/>
      <c r="AC252" s="426"/>
      <c r="AD252" s="161">
        <f t="shared" si="8"/>
        <v>0</v>
      </c>
      <c r="AE252" s="602"/>
      <c r="AF252" s="160">
        <f t="shared" si="7"/>
        <v>0</v>
      </c>
      <c r="AG252" s="627"/>
      <c r="AN252" s="77"/>
      <c r="AP252" s="377"/>
      <c r="AQ252" s="377"/>
      <c r="AR252" s="377"/>
      <c r="AS252" s="377"/>
      <c r="AT252" s="377"/>
      <c r="AU252" s="377"/>
      <c r="AV252" s="377"/>
      <c r="AW252" s="377"/>
      <c r="AX252" s="377"/>
      <c r="AY252" s="377"/>
      <c r="AZ252" s="377"/>
      <c r="BA252" s="377"/>
      <c r="BB252" s="377"/>
      <c r="BC252" s="377"/>
      <c r="BD252" s="377"/>
      <c r="BE252" s="377"/>
      <c r="BF252" s="377"/>
      <c r="BG252" s="377"/>
      <c r="BH252" s="377"/>
    </row>
    <row r="253" spans="1:60" s="3" customFormat="1" ht="14.25" x14ac:dyDescent="0.2">
      <c r="A253" s="423"/>
      <c r="B253" s="423"/>
      <c r="C253" s="424"/>
      <c r="D253" s="424"/>
      <c r="E253" s="424"/>
      <c r="F253" s="424"/>
      <c r="G253" s="424"/>
      <c r="H253" s="424"/>
      <c r="I253" s="424"/>
      <c r="J253" s="424"/>
      <c r="K253" s="424"/>
      <c r="L253" s="424"/>
      <c r="M253" s="424"/>
      <c r="N253" s="424"/>
      <c r="O253" s="424"/>
      <c r="P253" s="424"/>
      <c r="Q253" s="424"/>
      <c r="R253" s="424"/>
      <c r="S253" s="424"/>
      <c r="T253" s="424"/>
      <c r="U253" s="424"/>
      <c r="V253" s="424"/>
      <c r="W253" s="424"/>
      <c r="X253" s="424"/>
      <c r="Y253" s="424"/>
      <c r="Z253" s="424"/>
      <c r="AA253" s="424"/>
      <c r="AB253" s="424"/>
      <c r="AC253" s="424"/>
      <c r="AD253" s="123">
        <f t="shared" si="8"/>
        <v>0</v>
      </c>
      <c r="AE253" s="603"/>
      <c r="AF253" s="113">
        <f t="shared" si="7"/>
        <v>0</v>
      </c>
      <c r="AG253" s="465"/>
      <c r="AN253" s="77"/>
      <c r="AP253" s="377"/>
      <c r="AQ253" s="377"/>
      <c r="AR253" s="377"/>
      <c r="AS253" s="377"/>
      <c r="AT253" s="377"/>
      <c r="AU253" s="377"/>
      <c r="AV253" s="377"/>
      <c r="AW253" s="377"/>
      <c r="AX253" s="377"/>
      <c r="AY253" s="377"/>
      <c r="AZ253" s="377"/>
      <c r="BA253" s="377"/>
      <c r="BB253" s="377"/>
      <c r="BC253" s="377"/>
      <c r="BD253" s="377"/>
      <c r="BE253" s="377"/>
      <c r="BF253" s="377"/>
      <c r="BG253" s="377"/>
      <c r="BH253" s="377"/>
    </row>
    <row r="254" spans="1:60" s="3" customFormat="1" ht="15" x14ac:dyDescent="0.25">
      <c r="A254" s="425"/>
      <c r="B254" s="425"/>
      <c r="C254" s="426"/>
      <c r="D254" s="426"/>
      <c r="E254" s="426"/>
      <c r="F254" s="426"/>
      <c r="G254" s="426"/>
      <c r="H254" s="426"/>
      <c r="I254" s="426"/>
      <c r="J254" s="426"/>
      <c r="K254" s="426"/>
      <c r="L254" s="426"/>
      <c r="M254" s="426"/>
      <c r="N254" s="426"/>
      <c r="O254" s="426"/>
      <c r="P254" s="426"/>
      <c r="Q254" s="426"/>
      <c r="R254" s="426"/>
      <c r="S254" s="426"/>
      <c r="T254" s="426"/>
      <c r="U254" s="426"/>
      <c r="V254" s="426"/>
      <c r="W254" s="426"/>
      <c r="X254" s="426"/>
      <c r="Y254" s="426"/>
      <c r="Z254" s="426"/>
      <c r="AA254" s="426"/>
      <c r="AB254" s="426"/>
      <c r="AC254" s="426"/>
      <c r="AD254" s="161">
        <f t="shared" si="8"/>
        <v>0</v>
      </c>
      <c r="AE254" s="602"/>
      <c r="AF254" s="160">
        <f t="shared" si="7"/>
        <v>0</v>
      </c>
      <c r="AG254" s="627"/>
      <c r="AK254" s="112"/>
      <c r="AP254" s="377"/>
      <c r="AQ254" s="377"/>
      <c r="AR254" s="377"/>
      <c r="AS254" s="377"/>
      <c r="AT254" s="377"/>
      <c r="AU254" s="377"/>
      <c r="AV254" s="377"/>
      <c r="AW254" s="377"/>
      <c r="AX254" s="377"/>
      <c r="AY254" s="377"/>
      <c r="AZ254" s="377"/>
      <c r="BA254" s="377"/>
      <c r="BB254" s="377"/>
      <c r="BC254" s="377"/>
      <c r="BD254" s="377"/>
      <c r="BE254" s="377"/>
      <c r="BF254" s="377"/>
      <c r="BG254" s="377"/>
      <c r="BH254" s="377"/>
    </row>
    <row r="255" spans="1:60" s="3" customFormat="1" ht="14.25" x14ac:dyDescent="0.2">
      <c r="A255" s="423"/>
      <c r="B255" s="423"/>
      <c r="C255" s="424"/>
      <c r="D255" s="424"/>
      <c r="E255" s="424"/>
      <c r="F255" s="424"/>
      <c r="G255" s="424"/>
      <c r="H255" s="424"/>
      <c r="I255" s="424"/>
      <c r="J255" s="424"/>
      <c r="K255" s="424"/>
      <c r="L255" s="424"/>
      <c r="M255" s="424"/>
      <c r="N255" s="424"/>
      <c r="O255" s="424"/>
      <c r="P255" s="424"/>
      <c r="Q255" s="424"/>
      <c r="R255" s="424"/>
      <c r="S255" s="424"/>
      <c r="T255" s="424"/>
      <c r="U255" s="424"/>
      <c r="V255" s="424"/>
      <c r="W255" s="424"/>
      <c r="X255" s="424"/>
      <c r="Y255" s="424"/>
      <c r="Z255" s="424"/>
      <c r="AA255" s="424"/>
      <c r="AB255" s="424"/>
      <c r="AC255" s="424"/>
      <c r="AD255" s="123">
        <f t="shared" si="8"/>
        <v>0</v>
      </c>
      <c r="AE255" s="603"/>
      <c r="AF255" s="113">
        <f>AD255*AE255</f>
        <v>0</v>
      </c>
      <c r="AG255" s="465"/>
      <c r="AP255" s="377"/>
      <c r="AQ255" s="377"/>
      <c r="AR255" s="377"/>
      <c r="AS255" s="377"/>
      <c r="AT255" s="377"/>
      <c r="AU255" s="377"/>
      <c r="AV255" s="377"/>
      <c r="AW255" s="377"/>
      <c r="AX255" s="377"/>
      <c r="AY255" s="377"/>
      <c r="AZ255" s="377"/>
      <c r="BA255" s="377"/>
      <c r="BB255" s="377"/>
      <c r="BC255" s="377"/>
      <c r="BD255" s="377"/>
      <c r="BE255" s="377"/>
      <c r="BF255" s="377"/>
      <c r="BG255" s="377"/>
      <c r="BH255" s="377"/>
    </row>
    <row r="256" spans="1:60" s="3" customFormat="1" ht="14.25" x14ac:dyDescent="0.2">
      <c r="A256" s="425"/>
      <c r="B256" s="425"/>
      <c r="C256" s="426"/>
      <c r="D256" s="426"/>
      <c r="E256" s="426"/>
      <c r="F256" s="426"/>
      <c r="G256" s="426"/>
      <c r="H256" s="426"/>
      <c r="I256" s="426"/>
      <c r="J256" s="426"/>
      <c r="K256" s="426"/>
      <c r="L256" s="426"/>
      <c r="M256" s="426"/>
      <c r="N256" s="426"/>
      <c r="O256" s="426"/>
      <c r="P256" s="426"/>
      <c r="Q256" s="426"/>
      <c r="R256" s="426"/>
      <c r="S256" s="426"/>
      <c r="T256" s="426"/>
      <c r="U256" s="426"/>
      <c r="V256" s="426"/>
      <c r="W256" s="426"/>
      <c r="X256" s="426"/>
      <c r="Y256" s="426"/>
      <c r="Z256" s="426"/>
      <c r="AA256" s="426"/>
      <c r="AB256" s="426"/>
      <c r="AC256" s="426"/>
      <c r="AD256" s="161">
        <f t="shared" si="8"/>
        <v>0</v>
      </c>
      <c r="AE256" s="602"/>
      <c r="AF256" s="160">
        <f>AD256*AE256</f>
        <v>0</v>
      </c>
      <c r="AG256" s="627"/>
      <c r="AP256" s="377"/>
      <c r="AQ256" s="377"/>
      <c r="AR256" s="377"/>
      <c r="AS256" s="377"/>
      <c r="AT256" s="377"/>
      <c r="AU256" s="377"/>
      <c r="AV256" s="377"/>
      <c r="AW256" s="377"/>
      <c r="AX256" s="377"/>
      <c r="AY256" s="377"/>
      <c r="AZ256" s="377"/>
      <c r="BA256" s="377"/>
      <c r="BB256" s="377"/>
      <c r="BC256" s="377"/>
      <c r="BD256" s="377"/>
      <c r="BE256" s="377"/>
      <c r="BF256" s="377"/>
      <c r="BG256" s="377"/>
      <c r="BH256" s="377"/>
    </row>
    <row r="257" spans="1:60" s="3" customFormat="1" ht="14.25" x14ac:dyDescent="0.2">
      <c r="A257" s="423"/>
      <c r="B257" s="423"/>
      <c r="C257" s="424"/>
      <c r="D257" s="424"/>
      <c r="E257" s="424"/>
      <c r="F257" s="424"/>
      <c r="G257" s="424"/>
      <c r="H257" s="424"/>
      <c r="I257" s="424"/>
      <c r="J257" s="424"/>
      <c r="K257" s="424"/>
      <c r="L257" s="424"/>
      <c r="M257" s="424"/>
      <c r="N257" s="424"/>
      <c r="O257" s="424"/>
      <c r="P257" s="424"/>
      <c r="Q257" s="424"/>
      <c r="R257" s="424"/>
      <c r="S257" s="424"/>
      <c r="T257" s="424"/>
      <c r="U257" s="424"/>
      <c r="V257" s="424"/>
      <c r="W257" s="424"/>
      <c r="X257" s="424"/>
      <c r="Y257" s="424"/>
      <c r="Z257" s="424"/>
      <c r="AA257" s="424"/>
      <c r="AB257" s="424"/>
      <c r="AC257" s="424"/>
      <c r="AD257" s="123">
        <f t="shared" si="8"/>
        <v>0</v>
      </c>
      <c r="AE257" s="603"/>
      <c r="AF257" s="113">
        <f t="shared" ref="AF257:AF300" si="9">AD257*AE257</f>
        <v>0</v>
      </c>
      <c r="AG257" s="465"/>
      <c r="AP257" s="377"/>
      <c r="AQ257" s="377"/>
      <c r="AR257" s="377"/>
      <c r="AS257" s="377"/>
      <c r="AT257" s="377"/>
      <c r="AU257" s="377"/>
      <c r="AV257" s="377"/>
      <c r="AW257" s="377"/>
      <c r="AX257" s="377"/>
      <c r="AY257" s="377"/>
      <c r="AZ257" s="377"/>
      <c r="BA257" s="377"/>
      <c r="BB257" s="377"/>
      <c r="BC257" s="377"/>
      <c r="BD257" s="377"/>
      <c r="BE257" s="377"/>
      <c r="BF257" s="377"/>
      <c r="BG257" s="377"/>
      <c r="BH257" s="377"/>
    </row>
    <row r="258" spans="1:60" s="3" customFormat="1" ht="14.25" x14ac:dyDescent="0.2">
      <c r="A258" s="425"/>
      <c r="B258" s="425"/>
      <c r="C258" s="426"/>
      <c r="D258" s="426"/>
      <c r="E258" s="426"/>
      <c r="F258" s="426"/>
      <c r="G258" s="426"/>
      <c r="H258" s="426"/>
      <c r="I258" s="426"/>
      <c r="J258" s="426"/>
      <c r="K258" s="426"/>
      <c r="L258" s="426"/>
      <c r="M258" s="426"/>
      <c r="N258" s="426"/>
      <c r="O258" s="426"/>
      <c r="P258" s="426"/>
      <c r="Q258" s="426"/>
      <c r="R258" s="426"/>
      <c r="S258" s="426"/>
      <c r="T258" s="426"/>
      <c r="U258" s="426"/>
      <c r="V258" s="426"/>
      <c r="W258" s="426"/>
      <c r="X258" s="426"/>
      <c r="Y258" s="426"/>
      <c r="Z258" s="426"/>
      <c r="AA258" s="426"/>
      <c r="AB258" s="426"/>
      <c r="AC258" s="426"/>
      <c r="AD258" s="161">
        <f t="shared" si="8"/>
        <v>0</v>
      </c>
      <c r="AE258" s="602"/>
      <c r="AF258" s="160">
        <f t="shared" si="9"/>
        <v>0</v>
      </c>
      <c r="AG258" s="627"/>
      <c r="AP258" s="377"/>
      <c r="AQ258" s="377"/>
      <c r="AR258" s="377"/>
      <c r="AS258" s="377"/>
      <c r="AT258" s="377"/>
      <c r="AU258" s="377"/>
      <c r="AV258" s="377"/>
      <c r="AW258" s="377"/>
      <c r="AX258" s="377"/>
      <c r="AY258" s="377"/>
      <c r="AZ258" s="377"/>
      <c r="BA258" s="377"/>
      <c r="BB258" s="377"/>
      <c r="BC258" s="377"/>
      <c r="BD258" s="377"/>
      <c r="BE258" s="377"/>
      <c r="BF258" s="377"/>
      <c r="BG258" s="377"/>
      <c r="BH258" s="377"/>
    </row>
    <row r="259" spans="1:60" s="3" customFormat="1" ht="14.25" x14ac:dyDescent="0.2">
      <c r="A259" s="423"/>
      <c r="B259" s="423"/>
      <c r="C259" s="424"/>
      <c r="D259" s="424"/>
      <c r="E259" s="424"/>
      <c r="F259" s="424"/>
      <c r="G259" s="424"/>
      <c r="H259" s="424"/>
      <c r="I259" s="424"/>
      <c r="J259" s="424"/>
      <c r="K259" s="424"/>
      <c r="L259" s="424"/>
      <c r="M259" s="424"/>
      <c r="N259" s="424"/>
      <c r="O259" s="424"/>
      <c r="P259" s="424"/>
      <c r="Q259" s="424"/>
      <c r="R259" s="424"/>
      <c r="S259" s="424"/>
      <c r="T259" s="424"/>
      <c r="U259" s="424"/>
      <c r="V259" s="424"/>
      <c r="W259" s="424"/>
      <c r="X259" s="424"/>
      <c r="Y259" s="424"/>
      <c r="Z259" s="424"/>
      <c r="AA259" s="424"/>
      <c r="AB259" s="424"/>
      <c r="AC259" s="424"/>
      <c r="AD259" s="123">
        <f t="shared" si="8"/>
        <v>0</v>
      </c>
      <c r="AE259" s="603"/>
      <c r="AF259" s="113">
        <f t="shared" si="9"/>
        <v>0</v>
      </c>
      <c r="AG259" s="465"/>
      <c r="AP259" s="377"/>
      <c r="AQ259" s="377"/>
      <c r="AR259" s="377"/>
      <c r="AS259" s="377"/>
      <c r="AT259" s="377"/>
      <c r="AU259" s="377"/>
      <c r="AV259" s="377"/>
      <c r="AW259" s="377"/>
      <c r="AX259" s="377"/>
      <c r="AY259" s="377"/>
      <c r="AZ259" s="377"/>
      <c r="BA259" s="377"/>
      <c r="BB259" s="377"/>
      <c r="BC259" s="377"/>
      <c r="BD259" s="377"/>
      <c r="BE259" s="377"/>
      <c r="BF259" s="377"/>
      <c r="BG259" s="377"/>
      <c r="BH259" s="377"/>
    </row>
    <row r="260" spans="1:60" s="112" customFormat="1" ht="15" x14ac:dyDescent="0.25">
      <c r="A260" s="425"/>
      <c r="B260" s="425"/>
      <c r="C260" s="426"/>
      <c r="D260" s="426"/>
      <c r="E260" s="426"/>
      <c r="F260" s="426"/>
      <c r="G260" s="426"/>
      <c r="H260" s="426"/>
      <c r="I260" s="426"/>
      <c r="J260" s="426"/>
      <c r="K260" s="426"/>
      <c r="L260" s="426"/>
      <c r="M260" s="426"/>
      <c r="N260" s="426"/>
      <c r="O260" s="426"/>
      <c r="P260" s="426"/>
      <c r="Q260" s="426"/>
      <c r="R260" s="426"/>
      <c r="S260" s="426"/>
      <c r="T260" s="426"/>
      <c r="U260" s="426"/>
      <c r="V260" s="426"/>
      <c r="W260" s="426"/>
      <c r="X260" s="426"/>
      <c r="Y260" s="426"/>
      <c r="Z260" s="426"/>
      <c r="AA260" s="426"/>
      <c r="AB260" s="426"/>
      <c r="AC260" s="426"/>
      <c r="AD260" s="161">
        <f t="shared" si="8"/>
        <v>0</v>
      </c>
      <c r="AE260" s="602"/>
      <c r="AF260" s="160">
        <f t="shared" si="9"/>
        <v>0</v>
      </c>
      <c r="AG260" s="627"/>
      <c r="AK260" s="3"/>
      <c r="AN260" s="3"/>
      <c r="AP260" s="377"/>
      <c r="AQ260" s="377"/>
      <c r="AR260" s="377"/>
      <c r="AS260" s="377"/>
      <c r="AT260" s="377"/>
      <c r="AU260" s="377"/>
      <c r="AV260" s="377"/>
      <c r="AW260" s="377"/>
      <c r="AX260" s="377"/>
      <c r="AY260" s="379"/>
      <c r="AZ260" s="377"/>
      <c r="BA260" s="377"/>
      <c r="BB260" s="377"/>
      <c r="BC260" s="377"/>
      <c r="BD260" s="377"/>
      <c r="BE260" s="377"/>
      <c r="BF260" s="377"/>
      <c r="BG260" s="377"/>
      <c r="BH260" s="377"/>
    </row>
    <row r="261" spans="1:60" s="3" customFormat="1" ht="15" x14ac:dyDescent="0.25">
      <c r="A261" s="423"/>
      <c r="B261" s="423"/>
      <c r="C261" s="424"/>
      <c r="D261" s="424"/>
      <c r="E261" s="424"/>
      <c r="F261" s="424"/>
      <c r="G261" s="424"/>
      <c r="H261" s="424"/>
      <c r="I261" s="424"/>
      <c r="J261" s="424"/>
      <c r="K261" s="424"/>
      <c r="L261" s="424"/>
      <c r="M261" s="424"/>
      <c r="N261" s="424"/>
      <c r="O261" s="424"/>
      <c r="P261" s="424"/>
      <c r="Q261" s="424"/>
      <c r="R261" s="424"/>
      <c r="S261" s="424"/>
      <c r="T261" s="424"/>
      <c r="U261" s="424"/>
      <c r="V261" s="424"/>
      <c r="W261" s="424"/>
      <c r="X261" s="424"/>
      <c r="Y261" s="424"/>
      <c r="Z261" s="424"/>
      <c r="AA261" s="424"/>
      <c r="AB261" s="424"/>
      <c r="AC261" s="424"/>
      <c r="AD261" s="123">
        <f t="shared" si="8"/>
        <v>0</v>
      </c>
      <c r="AE261" s="603"/>
      <c r="AF261" s="113">
        <f t="shared" si="9"/>
        <v>0</v>
      </c>
      <c r="AG261" s="465"/>
      <c r="AN261" s="112"/>
      <c r="AP261" s="377"/>
      <c r="AQ261" s="377"/>
      <c r="AR261" s="377"/>
      <c r="AS261" s="377"/>
      <c r="AT261" s="377"/>
      <c r="AU261" s="377"/>
      <c r="AV261" s="377"/>
      <c r="AW261" s="377"/>
      <c r="AX261" s="377"/>
      <c r="AY261" s="377"/>
      <c r="AZ261" s="377"/>
      <c r="BA261" s="377"/>
      <c r="BB261" s="377"/>
      <c r="BC261" s="377"/>
      <c r="BD261" s="377"/>
      <c r="BE261" s="377"/>
      <c r="BF261" s="377"/>
      <c r="BG261" s="377"/>
      <c r="BH261" s="377"/>
    </row>
    <row r="262" spans="1:60" s="3" customFormat="1" ht="14.25" x14ac:dyDescent="0.2">
      <c r="A262" s="425"/>
      <c r="B262" s="425"/>
      <c r="C262" s="426"/>
      <c r="D262" s="426"/>
      <c r="E262" s="426"/>
      <c r="F262" s="426"/>
      <c r="G262" s="426"/>
      <c r="H262" s="426"/>
      <c r="I262" s="426"/>
      <c r="J262" s="426"/>
      <c r="K262" s="426"/>
      <c r="L262" s="426"/>
      <c r="M262" s="426"/>
      <c r="N262" s="426"/>
      <c r="O262" s="426"/>
      <c r="P262" s="426"/>
      <c r="Q262" s="426"/>
      <c r="R262" s="426"/>
      <c r="S262" s="426"/>
      <c r="T262" s="426"/>
      <c r="U262" s="426"/>
      <c r="V262" s="426"/>
      <c r="W262" s="426"/>
      <c r="X262" s="426"/>
      <c r="Y262" s="426"/>
      <c r="Z262" s="426"/>
      <c r="AA262" s="426"/>
      <c r="AB262" s="426"/>
      <c r="AC262" s="426"/>
      <c r="AD262" s="161">
        <f t="shared" si="8"/>
        <v>0</v>
      </c>
      <c r="AE262" s="602"/>
      <c r="AF262" s="160">
        <f t="shared" si="9"/>
        <v>0</v>
      </c>
      <c r="AG262" s="627"/>
      <c r="AP262" s="377"/>
      <c r="AQ262" s="377"/>
      <c r="AR262" s="377"/>
      <c r="AS262" s="377"/>
      <c r="AT262" s="377"/>
      <c r="AU262" s="377"/>
      <c r="AV262" s="377"/>
      <c r="AW262" s="377"/>
      <c r="AX262" s="377"/>
      <c r="AY262" s="377"/>
      <c r="AZ262" s="377"/>
      <c r="BA262" s="377"/>
      <c r="BB262" s="377"/>
      <c r="BC262" s="377"/>
      <c r="BD262" s="377"/>
      <c r="BE262" s="377"/>
      <c r="BF262" s="377"/>
      <c r="BG262" s="377"/>
      <c r="BH262" s="377"/>
    </row>
    <row r="263" spans="1:60" s="3" customFormat="1" ht="14.25" x14ac:dyDescent="0.2">
      <c r="A263" s="423"/>
      <c r="B263" s="423"/>
      <c r="C263" s="424"/>
      <c r="D263" s="424"/>
      <c r="E263" s="424"/>
      <c r="F263" s="424"/>
      <c r="G263" s="424"/>
      <c r="H263" s="424"/>
      <c r="I263" s="424"/>
      <c r="J263" s="424"/>
      <c r="K263" s="424"/>
      <c r="L263" s="424"/>
      <c r="M263" s="424"/>
      <c r="N263" s="424"/>
      <c r="O263" s="424"/>
      <c r="P263" s="424"/>
      <c r="Q263" s="424"/>
      <c r="R263" s="424"/>
      <c r="S263" s="424"/>
      <c r="T263" s="424"/>
      <c r="U263" s="424"/>
      <c r="V263" s="424"/>
      <c r="W263" s="424"/>
      <c r="X263" s="424"/>
      <c r="Y263" s="424"/>
      <c r="Z263" s="424"/>
      <c r="AA263" s="424"/>
      <c r="AB263" s="424"/>
      <c r="AC263" s="424"/>
      <c r="AD263" s="123">
        <f t="shared" si="8"/>
        <v>0</v>
      </c>
      <c r="AE263" s="603"/>
      <c r="AF263" s="113">
        <f t="shared" si="9"/>
        <v>0</v>
      </c>
      <c r="AG263" s="465"/>
      <c r="AP263" s="377"/>
      <c r="AQ263" s="377"/>
      <c r="AR263" s="377"/>
      <c r="AS263" s="377"/>
      <c r="AT263" s="377"/>
      <c r="AU263" s="377"/>
      <c r="AV263" s="377"/>
      <c r="AW263" s="377"/>
      <c r="AX263" s="377"/>
      <c r="AY263" s="377"/>
      <c r="AZ263" s="377"/>
      <c r="BA263" s="377"/>
      <c r="BB263" s="377"/>
      <c r="BC263" s="377"/>
      <c r="BD263" s="377"/>
      <c r="BE263" s="377"/>
      <c r="BF263" s="377"/>
      <c r="BG263" s="377"/>
      <c r="BH263" s="377"/>
    </row>
    <row r="264" spans="1:60" s="3" customFormat="1" ht="14.25" x14ac:dyDescent="0.2">
      <c r="A264" s="425"/>
      <c r="B264" s="425"/>
      <c r="C264" s="426"/>
      <c r="D264" s="426"/>
      <c r="E264" s="426"/>
      <c r="F264" s="426"/>
      <c r="G264" s="426"/>
      <c r="H264" s="426"/>
      <c r="I264" s="426"/>
      <c r="J264" s="426"/>
      <c r="K264" s="426"/>
      <c r="L264" s="426"/>
      <c r="M264" s="426"/>
      <c r="N264" s="426"/>
      <c r="O264" s="426"/>
      <c r="P264" s="426"/>
      <c r="Q264" s="426"/>
      <c r="R264" s="426"/>
      <c r="S264" s="426"/>
      <c r="T264" s="426"/>
      <c r="U264" s="426"/>
      <c r="V264" s="426"/>
      <c r="W264" s="426"/>
      <c r="X264" s="426"/>
      <c r="Y264" s="426"/>
      <c r="Z264" s="426"/>
      <c r="AA264" s="426"/>
      <c r="AB264" s="426"/>
      <c r="AC264" s="426"/>
      <c r="AD264" s="161">
        <f t="shared" si="8"/>
        <v>0</v>
      </c>
      <c r="AE264" s="602"/>
      <c r="AF264" s="160">
        <f t="shared" si="9"/>
        <v>0</v>
      </c>
      <c r="AG264" s="627"/>
      <c r="AP264" s="377"/>
      <c r="AQ264" s="377"/>
      <c r="AR264" s="377"/>
      <c r="AS264" s="377"/>
      <c r="AT264" s="377"/>
      <c r="AU264" s="377"/>
      <c r="AV264" s="377"/>
      <c r="AW264" s="377"/>
      <c r="AX264" s="377"/>
      <c r="AY264" s="377"/>
      <c r="AZ264" s="377"/>
      <c r="BA264" s="377"/>
      <c r="BB264" s="377"/>
      <c r="BC264" s="377"/>
      <c r="BD264" s="377"/>
      <c r="BE264" s="377"/>
      <c r="BF264" s="377"/>
      <c r="BG264" s="377"/>
      <c r="BH264" s="377"/>
    </row>
    <row r="265" spans="1:60" s="3" customFormat="1" ht="14.25" x14ac:dyDescent="0.2">
      <c r="A265" s="423"/>
      <c r="B265" s="423"/>
      <c r="C265" s="424"/>
      <c r="D265" s="424"/>
      <c r="E265" s="424"/>
      <c r="F265" s="424"/>
      <c r="G265" s="424"/>
      <c r="H265" s="424"/>
      <c r="I265" s="424"/>
      <c r="J265" s="424"/>
      <c r="K265" s="424"/>
      <c r="L265" s="424"/>
      <c r="M265" s="424"/>
      <c r="N265" s="424"/>
      <c r="O265" s="424"/>
      <c r="P265" s="424"/>
      <c r="Q265" s="424"/>
      <c r="R265" s="424"/>
      <c r="S265" s="424"/>
      <c r="T265" s="424"/>
      <c r="U265" s="424"/>
      <c r="V265" s="424"/>
      <c r="W265" s="424"/>
      <c r="X265" s="424"/>
      <c r="Y265" s="424"/>
      <c r="Z265" s="424"/>
      <c r="AA265" s="424"/>
      <c r="AB265" s="424"/>
      <c r="AC265" s="424"/>
      <c r="AD265" s="123">
        <f t="shared" si="8"/>
        <v>0</v>
      </c>
      <c r="AE265" s="603"/>
      <c r="AF265" s="113">
        <f t="shared" si="9"/>
        <v>0</v>
      </c>
      <c r="AG265" s="465"/>
      <c r="AP265" s="377"/>
      <c r="AQ265" s="377"/>
      <c r="AR265" s="377"/>
      <c r="AS265" s="377"/>
      <c r="AT265" s="377"/>
      <c r="AU265" s="377"/>
      <c r="AV265" s="377"/>
      <c r="AW265" s="377"/>
      <c r="AX265" s="377"/>
      <c r="AY265" s="377"/>
      <c r="AZ265" s="377"/>
      <c r="BA265" s="377"/>
      <c r="BB265" s="377"/>
      <c r="BC265" s="377"/>
      <c r="BD265" s="377"/>
      <c r="BE265" s="377"/>
      <c r="BF265" s="377"/>
      <c r="BG265" s="377"/>
      <c r="BH265" s="377"/>
    </row>
    <row r="266" spans="1:60" s="3" customFormat="1" ht="14.25" x14ac:dyDescent="0.2">
      <c r="A266" s="425"/>
      <c r="B266" s="425"/>
      <c r="C266" s="426"/>
      <c r="D266" s="426"/>
      <c r="E266" s="426"/>
      <c r="F266" s="426"/>
      <c r="G266" s="426"/>
      <c r="H266" s="426"/>
      <c r="I266" s="426"/>
      <c r="J266" s="426"/>
      <c r="K266" s="426"/>
      <c r="L266" s="426"/>
      <c r="M266" s="426"/>
      <c r="N266" s="426"/>
      <c r="O266" s="426"/>
      <c r="P266" s="426"/>
      <c r="Q266" s="426"/>
      <c r="R266" s="426"/>
      <c r="S266" s="426"/>
      <c r="T266" s="426"/>
      <c r="U266" s="426"/>
      <c r="V266" s="426"/>
      <c r="W266" s="426"/>
      <c r="X266" s="426"/>
      <c r="Y266" s="426"/>
      <c r="Z266" s="426"/>
      <c r="AA266" s="426"/>
      <c r="AB266" s="426"/>
      <c r="AC266" s="426"/>
      <c r="AD266" s="161">
        <f t="shared" si="8"/>
        <v>0</v>
      </c>
      <c r="AE266" s="602"/>
      <c r="AF266" s="160">
        <f t="shared" si="9"/>
        <v>0</v>
      </c>
      <c r="AG266" s="627"/>
      <c r="AP266" s="377"/>
      <c r="AQ266" s="377"/>
      <c r="AR266" s="377"/>
      <c r="AS266" s="377"/>
      <c r="AT266" s="377"/>
      <c r="AU266" s="377"/>
      <c r="AV266" s="377"/>
      <c r="AW266" s="377"/>
      <c r="AX266" s="377"/>
      <c r="AY266" s="377"/>
      <c r="AZ266" s="377"/>
      <c r="BA266" s="377"/>
      <c r="BB266" s="377"/>
      <c r="BC266" s="377"/>
      <c r="BD266" s="377"/>
      <c r="BE266" s="377"/>
      <c r="BF266" s="377"/>
      <c r="BG266" s="377"/>
      <c r="BH266" s="377"/>
    </row>
    <row r="267" spans="1:60" s="3" customFormat="1" ht="14.25" x14ac:dyDescent="0.2">
      <c r="A267" s="423"/>
      <c r="B267" s="423"/>
      <c r="C267" s="424"/>
      <c r="D267" s="424"/>
      <c r="E267" s="424"/>
      <c r="F267" s="424"/>
      <c r="G267" s="424"/>
      <c r="H267" s="424"/>
      <c r="I267" s="424"/>
      <c r="J267" s="424"/>
      <c r="K267" s="424"/>
      <c r="L267" s="424"/>
      <c r="M267" s="424"/>
      <c r="N267" s="424"/>
      <c r="O267" s="424"/>
      <c r="P267" s="424"/>
      <c r="Q267" s="424"/>
      <c r="R267" s="424"/>
      <c r="S267" s="424"/>
      <c r="T267" s="424"/>
      <c r="U267" s="424"/>
      <c r="V267" s="424"/>
      <c r="W267" s="424"/>
      <c r="X267" s="424"/>
      <c r="Y267" s="424"/>
      <c r="Z267" s="424"/>
      <c r="AA267" s="424"/>
      <c r="AB267" s="424"/>
      <c r="AC267" s="424"/>
      <c r="AD267" s="123">
        <f t="shared" si="8"/>
        <v>0</v>
      </c>
      <c r="AE267" s="603"/>
      <c r="AF267" s="113">
        <f t="shared" si="9"/>
        <v>0</v>
      </c>
      <c r="AG267" s="465"/>
      <c r="AP267" s="377"/>
      <c r="AQ267" s="377"/>
      <c r="AR267" s="377"/>
      <c r="AS267" s="377"/>
      <c r="AT267" s="377"/>
      <c r="AU267" s="377"/>
      <c r="AV267" s="377"/>
      <c r="AW267" s="377"/>
      <c r="AX267" s="377"/>
      <c r="AY267" s="377"/>
      <c r="AZ267" s="377"/>
      <c r="BA267" s="377"/>
      <c r="BB267" s="377"/>
      <c r="BC267" s="377"/>
      <c r="BD267" s="377"/>
      <c r="BE267" s="377"/>
      <c r="BF267" s="377"/>
      <c r="BG267" s="377"/>
      <c r="BH267" s="377"/>
    </row>
    <row r="268" spans="1:60" s="3" customFormat="1" ht="14.25" x14ac:dyDescent="0.2">
      <c r="A268" s="425"/>
      <c r="B268" s="425"/>
      <c r="C268" s="426"/>
      <c r="D268" s="426"/>
      <c r="E268" s="426"/>
      <c r="F268" s="426"/>
      <c r="G268" s="426"/>
      <c r="H268" s="426"/>
      <c r="I268" s="426"/>
      <c r="J268" s="426"/>
      <c r="K268" s="426"/>
      <c r="L268" s="426"/>
      <c r="M268" s="426"/>
      <c r="N268" s="426"/>
      <c r="O268" s="426"/>
      <c r="P268" s="426"/>
      <c r="Q268" s="426"/>
      <c r="R268" s="426"/>
      <c r="S268" s="426"/>
      <c r="T268" s="426"/>
      <c r="U268" s="426"/>
      <c r="V268" s="426"/>
      <c r="W268" s="426"/>
      <c r="X268" s="426"/>
      <c r="Y268" s="426"/>
      <c r="Z268" s="426"/>
      <c r="AA268" s="426"/>
      <c r="AB268" s="426"/>
      <c r="AC268" s="426"/>
      <c r="AD268" s="161">
        <f t="shared" si="8"/>
        <v>0</v>
      </c>
      <c r="AE268" s="602"/>
      <c r="AF268" s="160">
        <f t="shared" si="9"/>
        <v>0</v>
      </c>
      <c r="AG268" s="627"/>
      <c r="AP268" s="377"/>
      <c r="AQ268" s="377"/>
      <c r="AR268" s="377"/>
      <c r="AS268" s="377"/>
      <c r="AT268" s="377"/>
      <c r="AU268" s="377"/>
      <c r="AV268" s="377"/>
      <c r="AW268" s="377"/>
      <c r="AX268" s="377"/>
      <c r="AY268" s="377"/>
      <c r="AZ268" s="377"/>
      <c r="BA268" s="377"/>
      <c r="BB268" s="377"/>
      <c r="BC268" s="377"/>
      <c r="BD268" s="377"/>
      <c r="BE268" s="377"/>
      <c r="BF268" s="377"/>
      <c r="BG268" s="377"/>
      <c r="BH268" s="377"/>
    </row>
    <row r="269" spans="1:60" s="3" customFormat="1" ht="14.25" x14ac:dyDescent="0.2">
      <c r="A269" s="423"/>
      <c r="B269" s="423"/>
      <c r="C269" s="424"/>
      <c r="D269" s="424"/>
      <c r="E269" s="424"/>
      <c r="F269" s="424"/>
      <c r="G269" s="424"/>
      <c r="H269" s="424"/>
      <c r="I269" s="424"/>
      <c r="J269" s="424"/>
      <c r="K269" s="424"/>
      <c r="L269" s="424"/>
      <c r="M269" s="424"/>
      <c r="N269" s="424"/>
      <c r="O269" s="424"/>
      <c r="P269" s="424"/>
      <c r="Q269" s="424"/>
      <c r="R269" s="424"/>
      <c r="S269" s="424"/>
      <c r="T269" s="424"/>
      <c r="U269" s="424"/>
      <c r="V269" s="424"/>
      <c r="W269" s="424"/>
      <c r="X269" s="424"/>
      <c r="Y269" s="424"/>
      <c r="Z269" s="424"/>
      <c r="AA269" s="424"/>
      <c r="AB269" s="424"/>
      <c r="AC269" s="424"/>
      <c r="AD269" s="123">
        <f t="shared" si="8"/>
        <v>0</v>
      </c>
      <c r="AE269" s="603"/>
      <c r="AF269" s="113">
        <f t="shared" si="9"/>
        <v>0</v>
      </c>
      <c r="AG269" s="465"/>
      <c r="AP269" s="377"/>
      <c r="AQ269" s="377"/>
      <c r="AR269" s="377"/>
      <c r="AS269" s="377"/>
      <c r="AT269" s="377"/>
      <c r="AU269" s="377"/>
      <c r="AV269" s="377"/>
      <c r="AW269" s="377"/>
      <c r="AX269" s="377"/>
      <c r="AY269" s="377"/>
      <c r="AZ269" s="377"/>
      <c r="BA269" s="377"/>
      <c r="BB269" s="377"/>
      <c r="BC269" s="377"/>
      <c r="BD269" s="377"/>
      <c r="BE269" s="377"/>
      <c r="BF269" s="377"/>
      <c r="BG269" s="377"/>
      <c r="BH269" s="377"/>
    </row>
    <row r="270" spans="1:60" s="3" customFormat="1" ht="14.25" x14ac:dyDescent="0.2">
      <c r="A270" s="425"/>
      <c r="B270" s="425"/>
      <c r="C270" s="426"/>
      <c r="D270" s="426"/>
      <c r="E270" s="426"/>
      <c r="F270" s="426"/>
      <c r="G270" s="426"/>
      <c r="H270" s="426"/>
      <c r="I270" s="426"/>
      <c r="J270" s="426"/>
      <c r="K270" s="426"/>
      <c r="L270" s="426"/>
      <c r="M270" s="426"/>
      <c r="N270" s="426"/>
      <c r="O270" s="426"/>
      <c r="P270" s="426"/>
      <c r="Q270" s="426"/>
      <c r="R270" s="426"/>
      <c r="S270" s="426"/>
      <c r="T270" s="426"/>
      <c r="U270" s="426"/>
      <c r="V270" s="426"/>
      <c r="W270" s="426"/>
      <c r="X270" s="426"/>
      <c r="Y270" s="426"/>
      <c r="Z270" s="426"/>
      <c r="AA270" s="426"/>
      <c r="AB270" s="426"/>
      <c r="AC270" s="426"/>
      <c r="AD270" s="161">
        <f t="shared" si="8"/>
        <v>0</v>
      </c>
      <c r="AE270" s="602"/>
      <c r="AF270" s="160">
        <f t="shared" si="9"/>
        <v>0</v>
      </c>
      <c r="AG270" s="627"/>
      <c r="AP270" s="377"/>
      <c r="AQ270" s="377"/>
      <c r="AR270" s="377"/>
      <c r="AS270" s="377"/>
      <c r="AT270" s="377"/>
      <c r="AU270" s="377"/>
      <c r="AV270" s="377"/>
      <c r="AW270" s="377"/>
      <c r="AX270" s="377"/>
      <c r="AY270" s="377"/>
      <c r="AZ270" s="377"/>
      <c r="BA270" s="377"/>
      <c r="BB270" s="377"/>
      <c r="BC270" s="377"/>
      <c r="BD270" s="377"/>
      <c r="BE270" s="377"/>
      <c r="BF270" s="377"/>
      <c r="BG270" s="377"/>
      <c r="BH270" s="377"/>
    </row>
    <row r="271" spans="1:60" s="3" customFormat="1" ht="14.25" x14ac:dyDescent="0.2">
      <c r="A271" s="423"/>
      <c r="B271" s="423"/>
      <c r="C271" s="424"/>
      <c r="D271" s="424"/>
      <c r="E271" s="424"/>
      <c r="F271" s="424"/>
      <c r="G271" s="424"/>
      <c r="H271" s="424"/>
      <c r="I271" s="424"/>
      <c r="J271" s="424"/>
      <c r="K271" s="424"/>
      <c r="L271" s="424"/>
      <c r="M271" s="424"/>
      <c r="N271" s="424"/>
      <c r="O271" s="424"/>
      <c r="P271" s="424"/>
      <c r="Q271" s="424"/>
      <c r="R271" s="424"/>
      <c r="S271" s="424"/>
      <c r="T271" s="424"/>
      <c r="U271" s="424"/>
      <c r="V271" s="424"/>
      <c r="W271" s="424"/>
      <c r="X271" s="424"/>
      <c r="Y271" s="424"/>
      <c r="Z271" s="424"/>
      <c r="AA271" s="424"/>
      <c r="AB271" s="424"/>
      <c r="AC271" s="424"/>
      <c r="AD271" s="123">
        <f t="shared" si="8"/>
        <v>0</v>
      </c>
      <c r="AE271" s="603"/>
      <c r="AF271" s="113">
        <f t="shared" si="9"/>
        <v>0</v>
      </c>
      <c r="AG271" s="465"/>
      <c r="AP271" s="377"/>
      <c r="AQ271" s="377"/>
      <c r="AR271" s="377"/>
      <c r="AS271" s="377"/>
      <c r="AT271" s="377"/>
      <c r="AU271" s="377"/>
      <c r="AV271" s="377"/>
      <c r="AW271" s="377"/>
      <c r="AX271" s="377"/>
      <c r="AY271" s="377"/>
      <c r="AZ271" s="377"/>
      <c r="BA271" s="377"/>
      <c r="BB271" s="377"/>
      <c r="BC271" s="377"/>
      <c r="BD271" s="377"/>
      <c r="BE271" s="377"/>
      <c r="BF271" s="377"/>
      <c r="BG271" s="377"/>
      <c r="BH271" s="377"/>
    </row>
    <row r="272" spans="1:60" s="3" customFormat="1" ht="14.25" x14ac:dyDescent="0.2">
      <c r="A272" s="425"/>
      <c r="B272" s="425"/>
      <c r="C272" s="426"/>
      <c r="D272" s="426"/>
      <c r="E272" s="426"/>
      <c r="F272" s="426"/>
      <c r="G272" s="426"/>
      <c r="H272" s="426"/>
      <c r="I272" s="426"/>
      <c r="J272" s="426"/>
      <c r="K272" s="426"/>
      <c r="L272" s="426"/>
      <c r="M272" s="426"/>
      <c r="N272" s="426"/>
      <c r="O272" s="426"/>
      <c r="P272" s="426"/>
      <c r="Q272" s="426"/>
      <c r="R272" s="426"/>
      <c r="S272" s="426"/>
      <c r="T272" s="426"/>
      <c r="U272" s="426"/>
      <c r="V272" s="426"/>
      <c r="W272" s="426"/>
      <c r="X272" s="426"/>
      <c r="Y272" s="426"/>
      <c r="Z272" s="426"/>
      <c r="AA272" s="426"/>
      <c r="AB272" s="426"/>
      <c r="AC272" s="426"/>
      <c r="AD272" s="161">
        <f t="shared" si="8"/>
        <v>0</v>
      </c>
      <c r="AE272" s="602"/>
      <c r="AF272" s="160">
        <f t="shared" si="9"/>
        <v>0</v>
      </c>
      <c r="AG272" s="627"/>
      <c r="AP272" s="377"/>
      <c r="AQ272" s="377"/>
      <c r="AR272" s="377"/>
      <c r="AS272" s="377"/>
      <c r="AT272" s="377"/>
      <c r="AU272" s="377"/>
      <c r="AV272" s="377"/>
      <c r="AW272" s="377"/>
      <c r="AX272" s="377"/>
      <c r="AY272" s="377"/>
      <c r="AZ272" s="377"/>
      <c r="BA272" s="377"/>
      <c r="BB272" s="377"/>
      <c r="BC272" s="377"/>
      <c r="BD272" s="377"/>
      <c r="BE272" s="377"/>
      <c r="BF272" s="377"/>
      <c r="BG272" s="377"/>
      <c r="BH272" s="377"/>
    </row>
    <row r="273" spans="1:60" s="3" customFormat="1" ht="14.25" x14ac:dyDescent="0.2">
      <c r="A273" s="423"/>
      <c r="B273" s="423"/>
      <c r="C273" s="424"/>
      <c r="D273" s="424"/>
      <c r="E273" s="424"/>
      <c r="F273" s="424"/>
      <c r="G273" s="424"/>
      <c r="H273" s="424"/>
      <c r="I273" s="424"/>
      <c r="J273" s="424"/>
      <c r="K273" s="424"/>
      <c r="L273" s="424"/>
      <c r="M273" s="424"/>
      <c r="N273" s="424"/>
      <c r="O273" s="424"/>
      <c r="P273" s="424"/>
      <c r="Q273" s="424"/>
      <c r="R273" s="424"/>
      <c r="S273" s="424"/>
      <c r="T273" s="424"/>
      <c r="U273" s="424"/>
      <c r="V273" s="424"/>
      <c r="W273" s="424"/>
      <c r="X273" s="424"/>
      <c r="Y273" s="424"/>
      <c r="Z273" s="424"/>
      <c r="AA273" s="424"/>
      <c r="AB273" s="424"/>
      <c r="AC273" s="424"/>
      <c r="AD273" s="123">
        <f t="shared" si="8"/>
        <v>0</v>
      </c>
      <c r="AE273" s="603"/>
      <c r="AF273" s="113">
        <f t="shared" si="9"/>
        <v>0</v>
      </c>
      <c r="AG273" s="465"/>
      <c r="AP273" s="377"/>
      <c r="AQ273" s="377"/>
      <c r="AR273" s="377"/>
      <c r="AS273" s="377"/>
      <c r="AT273" s="377"/>
      <c r="AU273" s="377"/>
      <c r="AV273" s="377"/>
      <c r="AW273" s="377"/>
      <c r="AX273" s="377"/>
      <c r="AY273" s="377"/>
      <c r="AZ273" s="377"/>
      <c r="BA273" s="377"/>
      <c r="BB273" s="377"/>
      <c r="BC273" s="377"/>
      <c r="BD273" s="377"/>
      <c r="BE273" s="377"/>
      <c r="BF273" s="377"/>
      <c r="BG273" s="377"/>
      <c r="BH273" s="377"/>
    </row>
    <row r="274" spans="1:60" s="3" customFormat="1" ht="14.25" x14ac:dyDescent="0.2">
      <c r="A274" s="425"/>
      <c r="B274" s="425"/>
      <c r="C274" s="426"/>
      <c r="D274" s="426"/>
      <c r="E274" s="426"/>
      <c r="F274" s="426"/>
      <c r="G274" s="426"/>
      <c r="H274" s="426"/>
      <c r="I274" s="426"/>
      <c r="J274" s="426"/>
      <c r="K274" s="426"/>
      <c r="L274" s="426"/>
      <c r="M274" s="426"/>
      <c r="N274" s="426"/>
      <c r="O274" s="426"/>
      <c r="P274" s="426"/>
      <c r="Q274" s="426"/>
      <c r="R274" s="426"/>
      <c r="S274" s="426"/>
      <c r="T274" s="426"/>
      <c r="U274" s="426"/>
      <c r="V274" s="426"/>
      <c r="W274" s="426"/>
      <c r="X274" s="426"/>
      <c r="Y274" s="426"/>
      <c r="Z274" s="426"/>
      <c r="AA274" s="426"/>
      <c r="AB274" s="426"/>
      <c r="AC274" s="426"/>
      <c r="AD274" s="161">
        <f t="shared" si="8"/>
        <v>0</v>
      </c>
      <c r="AE274" s="602"/>
      <c r="AF274" s="160">
        <f t="shared" si="9"/>
        <v>0</v>
      </c>
      <c r="AG274" s="627"/>
      <c r="AP274" s="377"/>
      <c r="AQ274" s="377"/>
      <c r="AR274" s="377"/>
      <c r="AS274" s="377"/>
      <c r="AT274" s="377"/>
      <c r="AU274" s="377"/>
      <c r="AV274" s="377"/>
      <c r="AW274" s="377"/>
      <c r="AX274" s="377"/>
      <c r="AY274" s="377"/>
      <c r="AZ274" s="377"/>
      <c r="BA274" s="377"/>
      <c r="BB274" s="377"/>
      <c r="BC274" s="377"/>
      <c r="BD274" s="377"/>
      <c r="BE274" s="377"/>
      <c r="BF274" s="377"/>
      <c r="BG274" s="377"/>
      <c r="BH274" s="377"/>
    </row>
    <row r="275" spans="1:60" s="3" customFormat="1" ht="14.25" x14ac:dyDescent="0.2">
      <c r="A275" s="423"/>
      <c r="B275" s="423"/>
      <c r="C275" s="424"/>
      <c r="D275" s="424"/>
      <c r="E275" s="424"/>
      <c r="F275" s="424"/>
      <c r="G275" s="424"/>
      <c r="H275" s="424"/>
      <c r="I275" s="424"/>
      <c r="J275" s="424"/>
      <c r="K275" s="424"/>
      <c r="L275" s="424"/>
      <c r="M275" s="424"/>
      <c r="N275" s="424"/>
      <c r="O275" s="424"/>
      <c r="P275" s="424"/>
      <c r="Q275" s="424"/>
      <c r="R275" s="424"/>
      <c r="S275" s="424"/>
      <c r="T275" s="424"/>
      <c r="U275" s="424"/>
      <c r="V275" s="424"/>
      <c r="W275" s="424"/>
      <c r="X275" s="424"/>
      <c r="Y275" s="424"/>
      <c r="Z275" s="424"/>
      <c r="AA275" s="424"/>
      <c r="AB275" s="424"/>
      <c r="AC275" s="424"/>
      <c r="AD275" s="123">
        <f t="shared" si="8"/>
        <v>0</v>
      </c>
      <c r="AE275" s="603"/>
      <c r="AF275" s="113">
        <f t="shared" si="9"/>
        <v>0</v>
      </c>
      <c r="AG275" s="465"/>
      <c r="AP275" s="377"/>
      <c r="AQ275" s="377"/>
      <c r="AR275" s="377"/>
      <c r="AS275" s="377"/>
      <c r="AT275" s="377"/>
      <c r="AU275" s="377"/>
      <c r="AV275" s="377"/>
      <c r="AW275" s="377"/>
      <c r="AX275" s="377"/>
      <c r="AY275" s="377"/>
      <c r="AZ275" s="377"/>
      <c r="BA275" s="377"/>
      <c r="BB275" s="377"/>
      <c r="BC275" s="377"/>
      <c r="BD275" s="377"/>
      <c r="BE275" s="377"/>
      <c r="BF275" s="377"/>
      <c r="BG275" s="377"/>
      <c r="BH275" s="377"/>
    </row>
    <row r="276" spans="1:60" s="3" customFormat="1" ht="14.25" x14ac:dyDescent="0.2">
      <c r="A276" s="425"/>
      <c r="B276" s="425"/>
      <c r="C276" s="426"/>
      <c r="D276" s="426"/>
      <c r="E276" s="426"/>
      <c r="F276" s="426"/>
      <c r="G276" s="426"/>
      <c r="H276" s="426"/>
      <c r="I276" s="426"/>
      <c r="J276" s="426"/>
      <c r="K276" s="426"/>
      <c r="L276" s="426"/>
      <c r="M276" s="426"/>
      <c r="N276" s="426"/>
      <c r="O276" s="426"/>
      <c r="P276" s="426"/>
      <c r="Q276" s="426"/>
      <c r="R276" s="426"/>
      <c r="S276" s="426"/>
      <c r="T276" s="426"/>
      <c r="U276" s="426"/>
      <c r="V276" s="426"/>
      <c r="W276" s="426"/>
      <c r="X276" s="426"/>
      <c r="Y276" s="426"/>
      <c r="Z276" s="426"/>
      <c r="AA276" s="426"/>
      <c r="AB276" s="426"/>
      <c r="AC276" s="426"/>
      <c r="AD276" s="161">
        <f t="shared" si="8"/>
        <v>0</v>
      </c>
      <c r="AE276" s="602"/>
      <c r="AF276" s="160">
        <f t="shared" si="9"/>
        <v>0</v>
      </c>
      <c r="AG276" s="627"/>
      <c r="AP276" s="377"/>
      <c r="AQ276" s="377"/>
      <c r="AR276" s="377"/>
      <c r="AS276" s="377"/>
      <c r="AT276" s="377"/>
      <c r="AU276" s="377"/>
      <c r="AV276" s="377"/>
      <c r="AW276" s="377"/>
      <c r="AX276" s="377"/>
      <c r="AY276" s="377"/>
      <c r="AZ276" s="377"/>
      <c r="BA276" s="377"/>
      <c r="BB276" s="377"/>
      <c r="BC276" s="377"/>
      <c r="BD276" s="377"/>
      <c r="BE276" s="377"/>
      <c r="BF276" s="377"/>
      <c r="BG276" s="377"/>
      <c r="BH276" s="377"/>
    </row>
    <row r="277" spans="1:60" s="3" customFormat="1" ht="14.25" x14ac:dyDescent="0.2">
      <c r="A277" s="423"/>
      <c r="B277" s="423"/>
      <c r="C277" s="424"/>
      <c r="D277" s="424"/>
      <c r="E277" s="424"/>
      <c r="F277" s="424"/>
      <c r="G277" s="424"/>
      <c r="H277" s="424"/>
      <c r="I277" s="424"/>
      <c r="J277" s="424"/>
      <c r="K277" s="424"/>
      <c r="L277" s="424"/>
      <c r="M277" s="424"/>
      <c r="N277" s="424"/>
      <c r="O277" s="424"/>
      <c r="P277" s="424"/>
      <c r="Q277" s="424"/>
      <c r="R277" s="424"/>
      <c r="S277" s="424"/>
      <c r="T277" s="424"/>
      <c r="U277" s="424"/>
      <c r="V277" s="424"/>
      <c r="W277" s="424"/>
      <c r="X277" s="424"/>
      <c r="Y277" s="424"/>
      <c r="Z277" s="424"/>
      <c r="AA277" s="424"/>
      <c r="AB277" s="424"/>
      <c r="AC277" s="424"/>
      <c r="AD277" s="123">
        <f t="shared" si="8"/>
        <v>0</v>
      </c>
      <c r="AE277" s="603"/>
      <c r="AF277" s="113">
        <f t="shared" si="9"/>
        <v>0</v>
      </c>
      <c r="AG277" s="465"/>
      <c r="AP277" s="377"/>
      <c r="AQ277" s="377"/>
      <c r="AR277" s="377"/>
      <c r="AS277" s="377"/>
      <c r="AT277" s="377"/>
      <c r="AU277" s="377"/>
      <c r="AV277" s="377"/>
      <c r="AW277" s="377"/>
      <c r="AX277" s="377"/>
      <c r="AY277" s="377"/>
      <c r="AZ277" s="377"/>
      <c r="BA277" s="377"/>
      <c r="BB277" s="377"/>
      <c r="BC277" s="377"/>
      <c r="BD277" s="377"/>
      <c r="BE277" s="377"/>
      <c r="BF277" s="377"/>
      <c r="BG277" s="377"/>
      <c r="BH277" s="377"/>
    </row>
    <row r="278" spans="1:60" s="3" customFormat="1" ht="14.25" x14ac:dyDescent="0.2">
      <c r="A278" s="425"/>
      <c r="B278" s="425"/>
      <c r="C278" s="426"/>
      <c r="D278" s="426"/>
      <c r="E278" s="426"/>
      <c r="F278" s="426"/>
      <c r="G278" s="426"/>
      <c r="H278" s="426"/>
      <c r="I278" s="426"/>
      <c r="J278" s="426"/>
      <c r="K278" s="426"/>
      <c r="L278" s="426"/>
      <c r="M278" s="426"/>
      <c r="N278" s="426"/>
      <c r="O278" s="426"/>
      <c r="P278" s="426"/>
      <c r="Q278" s="426"/>
      <c r="R278" s="426"/>
      <c r="S278" s="426"/>
      <c r="T278" s="426"/>
      <c r="U278" s="426"/>
      <c r="V278" s="426"/>
      <c r="W278" s="426"/>
      <c r="X278" s="426"/>
      <c r="Y278" s="426"/>
      <c r="Z278" s="426"/>
      <c r="AA278" s="426"/>
      <c r="AB278" s="426"/>
      <c r="AC278" s="426"/>
      <c r="AD278" s="161">
        <f t="shared" si="8"/>
        <v>0</v>
      </c>
      <c r="AE278" s="602"/>
      <c r="AF278" s="160">
        <f t="shared" si="9"/>
        <v>0</v>
      </c>
      <c r="AG278" s="627"/>
      <c r="AP278" s="377"/>
      <c r="AQ278" s="377"/>
      <c r="AR278" s="377"/>
      <c r="AS278" s="377"/>
      <c r="AT278" s="377"/>
      <c r="AU278" s="377"/>
      <c r="AV278" s="377"/>
      <c r="AW278" s="377"/>
      <c r="AX278" s="377"/>
      <c r="AY278" s="377"/>
      <c r="AZ278" s="377"/>
      <c r="BA278" s="377"/>
      <c r="BB278" s="377"/>
      <c r="BC278" s="377"/>
      <c r="BD278" s="377"/>
      <c r="BE278" s="377"/>
      <c r="BF278" s="377"/>
      <c r="BG278" s="377"/>
      <c r="BH278" s="377"/>
    </row>
    <row r="279" spans="1:60" s="3" customFormat="1" ht="14.25" x14ac:dyDescent="0.2">
      <c r="A279" s="423"/>
      <c r="B279" s="423"/>
      <c r="C279" s="424"/>
      <c r="D279" s="424"/>
      <c r="E279" s="424"/>
      <c r="F279" s="424"/>
      <c r="G279" s="424"/>
      <c r="H279" s="424"/>
      <c r="I279" s="424"/>
      <c r="J279" s="424"/>
      <c r="K279" s="424"/>
      <c r="L279" s="424"/>
      <c r="M279" s="424"/>
      <c r="N279" s="424"/>
      <c r="O279" s="424"/>
      <c r="P279" s="424"/>
      <c r="Q279" s="424"/>
      <c r="R279" s="424"/>
      <c r="S279" s="424"/>
      <c r="T279" s="424"/>
      <c r="U279" s="424"/>
      <c r="V279" s="424"/>
      <c r="W279" s="424"/>
      <c r="X279" s="424"/>
      <c r="Y279" s="424"/>
      <c r="Z279" s="424"/>
      <c r="AA279" s="424"/>
      <c r="AB279" s="424"/>
      <c r="AC279" s="424"/>
      <c r="AD279" s="123">
        <f t="shared" si="8"/>
        <v>0</v>
      </c>
      <c r="AE279" s="603"/>
      <c r="AF279" s="113">
        <f t="shared" si="9"/>
        <v>0</v>
      </c>
      <c r="AG279" s="465"/>
      <c r="AP279" s="377"/>
      <c r="AQ279" s="377"/>
      <c r="AR279" s="377"/>
      <c r="AS279" s="377"/>
      <c r="AT279" s="377"/>
      <c r="AU279" s="377"/>
      <c r="AV279" s="377"/>
      <c r="AW279" s="377"/>
      <c r="AX279" s="377"/>
      <c r="AY279" s="377"/>
      <c r="AZ279" s="377"/>
      <c r="BA279" s="377"/>
      <c r="BB279" s="377"/>
      <c r="BC279" s="377"/>
      <c r="BD279" s="377"/>
      <c r="BE279" s="377"/>
      <c r="BF279" s="377"/>
      <c r="BG279" s="377"/>
      <c r="BH279" s="377"/>
    </row>
    <row r="280" spans="1:60" s="3" customFormat="1" ht="14.25" x14ac:dyDescent="0.2">
      <c r="A280" s="425"/>
      <c r="B280" s="425"/>
      <c r="C280" s="426"/>
      <c r="D280" s="426"/>
      <c r="E280" s="426"/>
      <c r="F280" s="426"/>
      <c r="G280" s="426"/>
      <c r="H280" s="426"/>
      <c r="I280" s="426"/>
      <c r="J280" s="426"/>
      <c r="K280" s="426"/>
      <c r="L280" s="426"/>
      <c r="M280" s="426"/>
      <c r="N280" s="426"/>
      <c r="O280" s="426"/>
      <c r="P280" s="426"/>
      <c r="Q280" s="426"/>
      <c r="R280" s="426"/>
      <c r="S280" s="426"/>
      <c r="T280" s="426"/>
      <c r="U280" s="426"/>
      <c r="V280" s="426"/>
      <c r="W280" s="426"/>
      <c r="X280" s="426"/>
      <c r="Y280" s="426"/>
      <c r="Z280" s="426"/>
      <c r="AA280" s="426"/>
      <c r="AB280" s="426"/>
      <c r="AC280" s="426"/>
      <c r="AD280" s="161">
        <f t="shared" si="8"/>
        <v>0</v>
      </c>
      <c r="AE280" s="602"/>
      <c r="AF280" s="160">
        <f t="shared" si="9"/>
        <v>0</v>
      </c>
      <c r="AG280" s="627"/>
      <c r="AP280" s="377"/>
      <c r="AQ280" s="377"/>
      <c r="AR280" s="377"/>
      <c r="AS280" s="377"/>
      <c r="AT280" s="377"/>
      <c r="AU280" s="377"/>
      <c r="AV280" s="377"/>
      <c r="AW280" s="377"/>
      <c r="AX280" s="377"/>
      <c r="AY280" s="377"/>
      <c r="AZ280" s="377"/>
      <c r="BA280" s="377"/>
      <c r="BB280" s="377"/>
      <c r="BC280" s="377"/>
      <c r="BD280" s="377"/>
      <c r="BE280" s="377"/>
      <c r="BF280" s="377"/>
      <c r="BG280" s="377"/>
      <c r="BH280" s="377"/>
    </row>
    <row r="281" spans="1:60" s="3" customFormat="1" ht="14.25" x14ac:dyDescent="0.2">
      <c r="A281" s="423"/>
      <c r="B281" s="423"/>
      <c r="C281" s="424"/>
      <c r="D281" s="424"/>
      <c r="E281" s="424"/>
      <c r="F281" s="424"/>
      <c r="G281" s="424"/>
      <c r="H281" s="424"/>
      <c r="I281" s="424"/>
      <c r="J281" s="424"/>
      <c r="K281" s="424"/>
      <c r="L281" s="424"/>
      <c r="M281" s="424"/>
      <c r="N281" s="424"/>
      <c r="O281" s="424"/>
      <c r="P281" s="424"/>
      <c r="Q281" s="424"/>
      <c r="R281" s="424"/>
      <c r="S281" s="424"/>
      <c r="T281" s="424"/>
      <c r="U281" s="424"/>
      <c r="V281" s="424"/>
      <c r="W281" s="424"/>
      <c r="X281" s="424"/>
      <c r="Y281" s="424"/>
      <c r="Z281" s="424"/>
      <c r="AA281" s="424"/>
      <c r="AB281" s="424"/>
      <c r="AC281" s="424"/>
      <c r="AD281" s="123">
        <f t="shared" si="8"/>
        <v>0</v>
      </c>
      <c r="AE281" s="603"/>
      <c r="AF281" s="113">
        <f t="shared" si="9"/>
        <v>0</v>
      </c>
      <c r="AG281" s="465"/>
      <c r="AP281" s="377"/>
      <c r="AQ281" s="377"/>
      <c r="AR281" s="377"/>
      <c r="AS281" s="377"/>
      <c r="AT281" s="377"/>
      <c r="AU281" s="377"/>
      <c r="AV281" s="377"/>
      <c r="AW281" s="377"/>
      <c r="AX281" s="377"/>
      <c r="AY281" s="377"/>
      <c r="AZ281" s="377"/>
      <c r="BA281" s="377"/>
      <c r="BB281" s="377"/>
      <c r="BC281" s="377"/>
      <c r="BD281" s="377"/>
      <c r="BE281" s="377"/>
      <c r="BF281" s="377"/>
      <c r="BG281" s="377"/>
      <c r="BH281" s="377"/>
    </row>
    <row r="282" spans="1:60" s="3" customFormat="1" ht="14.25" x14ac:dyDescent="0.2">
      <c r="A282" s="425"/>
      <c r="B282" s="425"/>
      <c r="C282" s="426"/>
      <c r="D282" s="426"/>
      <c r="E282" s="426"/>
      <c r="F282" s="426"/>
      <c r="G282" s="426"/>
      <c r="H282" s="426"/>
      <c r="I282" s="426"/>
      <c r="J282" s="426"/>
      <c r="K282" s="426"/>
      <c r="L282" s="426"/>
      <c r="M282" s="426"/>
      <c r="N282" s="426"/>
      <c r="O282" s="426"/>
      <c r="P282" s="426"/>
      <c r="Q282" s="426"/>
      <c r="R282" s="426"/>
      <c r="S282" s="426"/>
      <c r="T282" s="426"/>
      <c r="U282" s="426"/>
      <c r="V282" s="426"/>
      <c r="W282" s="426"/>
      <c r="X282" s="426"/>
      <c r="Y282" s="426"/>
      <c r="Z282" s="426"/>
      <c r="AA282" s="426"/>
      <c r="AB282" s="426"/>
      <c r="AC282" s="426"/>
      <c r="AD282" s="161">
        <f t="shared" si="8"/>
        <v>0</v>
      </c>
      <c r="AE282" s="602"/>
      <c r="AF282" s="160">
        <f t="shared" si="9"/>
        <v>0</v>
      </c>
      <c r="AG282" s="627"/>
      <c r="AP282" s="377"/>
      <c r="AQ282" s="377"/>
      <c r="AR282" s="377"/>
      <c r="AS282" s="377"/>
      <c r="AT282" s="377"/>
      <c r="AU282" s="377"/>
      <c r="AV282" s="377"/>
      <c r="AW282" s="377"/>
      <c r="AX282" s="377"/>
      <c r="AY282" s="377"/>
      <c r="AZ282" s="377"/>
      <c r="BA282" s="377"/>
      <c r="BB282" s="377"/>
      <c r="BC282" s="377"/>
      <c r="BD282" s="377"/>
      <c r="BE282" s="377"/>
      <c r="BF282" s="377"/>
      <c r="BG282" s="377"/>
      <c r="BH282" s="377"/>
    </row>
    <row r="283" spans="1:60" s="3" customFormat="1" ht="14.25" x14ac:dyDescent="0.2">
      <c r="A283" s="423"/>
      <c r="B283" s="423"/>
      <c r="C283" s="424"/>
      <c r="D283" s="424"/>
      <c r="E283" s="424"/>
      <c r="F283" s="424"/>
      <c r="G283" s="424"/>
      <c r="H283" s="424"/>
      <c r="I283" s="424"/>
      <c r="J283" s="424"/>
      <c r="K283" s="424"/>
      <c r="L283" s="424"/>
      <c r="M283" s="424"/>
      <c r="N283" s="424"/>
      <c r="O283" s="424"/>
      <c r="P283" s="424"/>
      <c r="Q283" s="424"/>
      <c r="R283" s="424"/>
      <c r="S283" s="424"/>
      <c r="T283" s="424"/>
      <c r="U283" s="424"/>
      <c r="V283" s="424"/>
      <c r="W283" s="424"/>
      <c r="X283" s="424"/>
      <c r="Y283" s="424"/>
      <c r="Z283" s="424"/>
      <c r="AA283" s="424"/>
      <c r="AB283" s="424"/>
      <c r="AC283" s="424"/>
      <c r="AD283" s="123">
        <f t="shared" si="8"/>
        <v>0</v>
      </c>
      <c r="AE283" s="603"/>
      <c r="AF283" s="113">
        <f t="shared" si="9"/>
        <v>0</v>
      </c>
      <c r="AG283" s="465"/>
      <c r="AP283" s="377"/>
      <c r="AQ283" s="377"/>
      <c r="AR283" s="377"/>
      <c r="AS283" s="377"/>
      <c r="AT283" s="377"/>
      <c r="AU283" s="377"/>
      <c r="AV283" s="377"/>
      <c r="AW283" s="377"/>
      <c r="AX283" s="377"/>
      <c r="AY283" s="377"/>
      <c r="AZ283" s="377"/>
      <c r="BA283" s="377"/>
      <c r="BB283" s="377"/>
      <c r="BC283" s="377"/>
      <c r="BD283" s="377"/>
      <c r="BE283" s="377"/>
      <c r="BF283" s="377"/>
      <c r="BG283" s="377"/>
      <c r="BH283" s="377"/>
    </row>
    <row r="284" spans="1:60" s="3" customFormat="1" ht="14.25" x14ac:dyDescent="0.2">
      <c r="A284" s="425"/>
      <c r="B284" s="425"/>
      <c r="C284" s="426"/>
      <c r="D284" s="426"/>
      <c r="E284" s="426"/>
      <c r="F284" s="426"/>
      <c r="G284" s="426"/>
      <c r="H284" s="426"/>
      <c r="I284" s="426"/>
      <c r="J284" s="426"/>
      <c r="K284" s="426"/>
      <c r="L284" s="426"/>
      <c r="M284" s="426"/>
      <c r="N284" s="426"/>
      <c r="O284" s="426"/>
      <c r="P284" s="426"/>
      <c r="Q284" s="426"/>
      <c r="R284" s="426"/>
      <c r="S284" s="426"/>
      <c r="T284" s="426"/>
      <c r="U284" s="426"/>
      <c r="V284" s="426"/>
      <c r="W284" s="426"/>
      <c r="X284" s="426"/>
      <c r="Y284" s="426"/>
      <c r="Z284" s="426"/>
      <c r="AA284" s="426"/>
      <c r="AB284" s="426"/>
      <c r="AC284" s="426"/>
      <c r="AD284" s="161">
        <f t="shared" si="8"/>
        <v>0</v>
      </c>
      <c r="AE284" s="602"/>
      <c r="AF284" s="160">
        <f t="shared" si="9"/>
        <v>0</v>
      </c>
      <c r="AG284" s="627"/>
      <c r="AP284" s="377"/>
      <c r="AQ284" s="377"/>
      <c r="AR284" s="377"/>
      <c r="AS284" s="377"/>
      <c r="AT284" s="377"/>
      <c r="AU284" s="377"/>
      <c r="AV284" s="377"/>
      <c r="AW284" s="377"/>
      <c r="AX284" s="377"/>
      <c r="AY284" s="377"/>
      <c r="AZ284" s="377"/>
      <c r="BA284" s="377"/>
      <c r="BB284" s="377"/>
      <c r="BC284" s="377"/>
      <c r="BD284" s="377"/>
      <c r="BE284" s="377"/>
      <c r="BF284" s="377"/>
      <c r="BG284" s="377"/>
      <c r="BH284" s="377"/>
    </row>
    <row r="285" spans="1:60" s="3" customFormat="1" ht="14.25" x14ac:dyDescent="0.2">
      <c r="A285" s="423"/>
      <c r="B285" s="423"/>
      <c r="C285" s="424"/>
      <c r="D285" s="424"/>
      <c r="E285" s="424"/>
      <c r="F285" s="424"/>
      <c r="G285" s="424"/>
      <c r="H285" s="424"/>
      <c r="I285" s="424"/>
      <c r="J285" s="424"/>
      <c r="K285" s="424"/>
      <c r="L285" s="424"/>
      <c r="M285" s="424"/>
      <c r="N285" s="424"/>
      <c r="O285" s="424"/>
      <c r="P285" s="424"/>
      <c r="Q285" s="424"/>
      <c r="R285" s="424"/>
      <c r="S285" s="424"/>
      <c r="T285" s="424"/>
      <c r="U285" s="424"/>
      <c r="V285" s="424"/>
      <c r="W285" s="424"/>
      <c r="X285" s="424"/>
      <c r="Y285" s="424"/>
      <c r="Z285" s="424"/>
      <c r="AA285" s="424"/>
      <c r="AB285" s="424"/>
      <c r="AC285" s="424"/>
      <c r="AD285" s="123">
        <f t="shared" si="8"/>
        <v>0</v>
      </c>
      <c r="AE285" s="603"/>
      <c r="AF285" s="113">
        <f t="shared" si="9"/>
        <v>0</v>
      </c>
      <c r="AG285" s="465"/>
      <c r="AP285" s="377"/>
      <c r="AQ285" s="377"/>
      <c r="AR285" s="377"/>
      <c r="AS285" s="377"/>
      <c r="AT285" s="377"/>
      <c r="AU285" s="377"/>
      <c r="AV285" s="377"/>
      <c r="AW285" s="377"/>
      <c r="AX285" s="377"/>
      <c r="AY285" s="377"/>
      <c r="AZ285" s="377"/>
      <c r="BA285" s="377"/>
      <c r="BB285" s="377"/>
      <c r="BC285" s="377"/>
      <c r="BD285" s="377"/>
      <c r="BE285" s="377"/>
      <c r="BF285" s="377"/>
      <c r="BG285" s="377"/>
      <c r="BH285" s="377"/>
    </row>
    <row r="286" spans="1:60" s="3" customFormat="1" ht="14.25" x14ac:dyDescent="0.2">
      <c r="A286" s="425"/>
      <c r="B286" s="425"/>
      <c r="C286" s="426"/>
      <c r="D286" s="426"/>
      <c r="E286" s="426"/>
      <c r="F286" s="426"/>
      <c r="G286" s="426"/>
      <c r="H286" s="426"/>
      <c r="I286" s="426"/>
      <c r="J286" s="426"/>
      <c r="K286" s="426"/>
      <c r="L286" s="426"/>
      <c r="M286" s="426"/>
      <c r="N286" s="426"/>
      <c r="O286" s="426"/>
      <c r="P286" s="426"/>
      <c r="Q286" s="426"/>
      <c r="R286" s="426"/>
      <c r="S286" s="426"/>
      <c r="T286" s="426"/>
      <c r="U286" s="426"/>
      <c r="V286" s="426"/>
      <c r="W286" s="426"/>
      <c r="X286" s="426"/>
      <c r="Y286" s="426"/>
      <c r="Z286" s="426"/>
      <c r="AA286" s="426"/>
      <c r="AB286" s="426"/>
      <c r="AC286" s="426"/>
      <c r="AD286" s="161">
        <f t="shared" si="8"/>
        <v>0</v>
      </c>
      <c r="AE286" s="602"/>
      <c r="AF286" s="160">
        <f t="shared" si="9"/>
        <v>0</v>
      </c>
      <c r="AG286" s="627"/>
      <c r="AP286" s="377"/>
      <c r="AQ286" s="377"/>
      <c r="AR286" s="377"/>
      <c r="AS286" s="377"/>
      <c r="AT286" s="377"/>
      <c r="AU286" s="377"/>
      <c r="AV286" s="377"/>
      <c r="AW286" s="377"/>
      <c r="AX286" s="377"/>
      <c r="AY286" s="377"/>
      <c r="AZ286" s="377"/>
      <c r="BA286" s="377"/>
      <c r="BB286" s="377"/>
      <c r="BC286" s="377"/>
      <c r="BD286" s="377"/>
      <c r="BE286" s="377"/>
      <c r="BF286" s="377"/>
      <c r="BG286" s="377"/>
      <c r="BH286" s="377"/>
    </row>
    <row r="287" spans="1:60" s="3" customFormat="1" ht="14.25" x14ac:dyDescent="0.2">
      <c r="A287" s="423"/>
      <c r="B287" s="423"/>
      <c r="C287" s="424"/>
      <c r="D287" s="424"/>
      <c r="E287" s="424"/>
      <c r="F287" s="424"/>
      <c r="G287" s="424"/>
      <c r="H287" s="424"/>
      <c r="I287" s="424"/>
      <c r="J287" s="424"/>
      <c r="K287" s="424"/>
      <c r="L287" s="424"/>
      <c r="M287" s="424"/>
      <c r="N287" s="424"/>
      <c r="O287" s="424"/>
      <c r="P287" s="424"/>
      <c r="Q287" s="424"/>
      <c r="R287" s="424"/>
      <c r="S287" s="424"/>
      <c r="T287" s="424"/>
      <c r="U287" s="424"/>
      <c r="V287" s="424"/>
      <c r="W287" s="424"/>
      <c r="X287" s="424"/>
      <c r="Y287" s="424"/>
      <c r="Z287" s="424"/>
      <c r="AA287" s="424"/>
      <c r="AB287" s="424"/>
      <c r="AC287" s="424"/>
      <c r="AD287" s="123">
        <f t="shared" ref="AD287:AD303" si="10">SUM(D287:AC287)</f>
        <v>0</v>
      </c>
      <c r="AE287" s="603"/>
      <c r="AF287" s="113">
        <f t="shared" si="9"/>
        <v>0</v>
      </c>
      <c r="AG287" s="465"/>
      <c r="AP287" s="377"/>
      <c r="AQ287" s="377"/>
      <c r="AR287" s="377"/>
      <c r="AS287" s="377"/>
      <c r="AT287" s="377"/>
      <c r="AU287" s="377"/>
      <c r="AV287" s="377"/>
      <c r="AW287" s="377"/>
      <c r="AX287" s="377"/>
      <c r="AY287" s="377"/>
      <c r="AZ287" s="377"/>
      <c r="BA287" s="377"/>
      <c r="BB287" s="377"/>
      <c r="BC287" s="377"/>
      <c r="BD287" s="377"/>
      <c r="BE287" s="377"/>
      <c r="BF287" s="377"/>
      <c r="BG287" s="377"/>
      <c r="BH287" s="377"/>
    </row>
    <row r="288" spans="1:60" s="3" customFormat="1" ht="14.25" x14ac:dyDescent="0.2">
      <c r="A288" s="425"/>
      <c r="B288" s="425"/>
      <c r="C288" s="426"/>
      <c r="D288" s="426"/>
      <c r="E288" s="426"/>
      <c r="F288" s="426"/>
      <c r="G288" s="426"/>
      <c r="H288" s="426"/>
      <c r="I288" s="426"/>
      <c r="J288" s="426"/>
      <c r="K288" s="426"/>
      <c r="L288" s="426"/>
      <c r="M288" s="426"/>
      <c r="N288" s="426"/>
      <c r="O288" s="426"/>
      <c r="P288" s="426"/>
      <c r="Q288" s="426"/>
      <c r="R288" s="426"/>
      <c r="S288" s="426"/>
      <c r="T288" s="426"/>
      <c r="U288" s="426"/>
      <c r="V288" s="426"/>
      <c r="W288" s="426"/>
      <c r="X288" s="426"/>
      <c r="Y288" s="426"/>
      <c r="Z288" s="426"/>
      <c r="AA288" s="426"/>
      <c r="AB288" s="426"/>
      <c r="AC288" s="426"/>
      <c r="AD288" s="161">
        <f t="shared" si="10"/>
        <v>0</v>
      </c>
      <c r="AE288" s="602"/>
      <c r="AF288" s="160">
        <f t="shared" si="9"/>
        <v>0</v>
      </c>
      <c r="AG288" s="627"/>
      <c r="AP288" s="377"/>
      <c r="AQ288" s="377"/>
      <c r="AR288" s="377"/>
      <c r="AS288" s="377"/>
      <c r="AT288" s="377"/>
      <c r="AU288" s="377"/>
      <c r="AV288" s="377"/>
      <c r="AW288" s="377"/>
      <c r="AX288" s="377"/>
      <c r="AY288" s="377"/>
      <c r="AZ288" s="377"/>
      <c r="BA288" s="377"/>
      <c r="BB288" s="377"/>
      <c r="BC288" s="377"/>
      <c r="BD288" s="377"/>
      <c r="BE288" s="377"/>
      <c r="BF288" s="377"/>
      <c r="BG288" s="377"/>
      <c r="BH288" s="377"/>
    </row>
    <row r="289" spans="1:60" s="3" customFormat="1" ht="14.25" x14ac:dyDescent="0.2">
      <c r="A289" s="423"/>
      <c r="B289" s="423"/>
      <c r="C289" s="424"/>
      <c r="D289" s="424"/>
      <c r="E289" s="424"/>
      <c r="F289" s="424"/>
      <c r="G289" s="424"/>
      <c r="H289" s="424"/>
      <c r="I289" s="424"/>
      <c r="J289" s="424"/>
      <c r="K289" s="424"/>
      <c r="L289" s="424"/>
      <c r="M289" s="424"/>
      <c r="N289" s="424"/>
      <c r="O289" s="424"/>
      <c r="P289" s="424"/>
      <c r="Q289" s="424"/>
      <c r="R289" s="424"/>
      <c r="S289" s="424"/>
      <c r="T289" s="424"/>
      <c r="U289" s="424"/>
      <c r="V289" s="424"/>
      <c r="W289" s="424"/>
      <c r="X289" s="424"/>
      <c r="Y289" s="424"/>
      <c r="Z289" s="424"/>
      <c r="AA289" s="424"/>
      <c r="AB289" s="424"/>
      <c r="AC289" s="424"/>
      <c r="AD289" s="123">
        <f t="shared" si="10"/>
        <v>0</v>
      </c>
      <c r="AE289" s="603"/>
      <c r="AF289" s="113">
        <f t="shared" si="9"/>
        <v>0</v>
      </c>
      <c r="AG289" s="465"/>
      <c r="AP289" s="377"/>
      <c r="AQ289" s="377"/>
      <c r="AR289" s="377"/>
      <c r="AS289" s="377"/>
      <c r="AT289" s="377"/>
      <c r="AU289" s="377"/>
      <c r="AV289" s="377"/>
      <c r="AW289" s="377"/>
      <c r="AX289" s="377"/>
      <c r="AY289" s="377"/>
      <c r="AZ289" s="377"/>
      <c r="BA289" s="377"/>
      <c r="BB289" s="377"/>
      <c r="BC289" s="377"/>
      <c r="BD289" s="377"/>
      <c r="BE289" s="377"/>
      <c r="BF289" s="377"/>
      <c r="BG289" s="377"/>
      <c r="BH289" s="377"/>
    </row>
    <row r="290" spans="1:60" s="3" customFormat="1" ht="14.25" x14ac:dyDescent="0.2">
      <c r="A290" s="425"/>
      <c r="B290" s="425"/>
      <c r="C290" s="426"/>
      <c r="D290" s="426"/>
      <c r="E290" s="426"/>
      <c r="F290" s="426"/>
      <c r="G290" s="426"/>
      <c r="H290" s="426"/>
      <c r="I290" s="426"/>
      <c r="J290" s="426"/>
      <c r="K290" s="426"/>
      <c r="L290" s="426"/>
      <c r="M290" s="426"/>
      <c r="N290" s="426"/>
      <c r="O290" s="426"/>
      <c r="P290" s="426"/>
      <c r="Q290" s="426"/>
      <c r="R290" s="426"/>
      <c r="S290" s="426"/>
      <c r="T290" s="426"/>
      <c r="U290" s="426"/>
      <c r="V290" s="426"/>
      <c r="W290" s="426"/>
      <c r="X290" s="426"/>
      <c r="Y290" s="426"/>
      <c r="Z290" s="426"/>
      <c r="AA290" s="426"/>
      <c r="AB290" s="426"/>
      <c r="AC290" s="426"/>
      <c r="AD290" s="161">
        <f t="shared" si="10"/>
        <v>0</v>
      </c>
      <c r="AE290" s="602"/>
      <c r="AF290" s="160">
        <f t="shared" si="9"/>
        <v>0</v>
      </c>
      <c r="AG290" s="627"/>
      <c r="AP290" s="377"/>
      <c r="AQ290" s="377"/>
      <c r="AR290" s="377"/>
      <c r="AS290" s="377"/>
      <c r="AT290" s="377"/>
      <c r="AU290" s="377"/>
      <c r="AV290" s="377"/>
      <c r="AW290" s="377"/>
      <c r="AX290" s="377"/>
      <c r="AY290" s="377"/>
      <c r="AZ290" s="377"/>
      <c r="BA290" s="377"/>
      <c r="BB290" s="377"/>
      <c r="BC290" s="377"/>
      <c r="BD290" s="377"/>
      <c r="BE290" s="377"/>
      <c r="BF290" s="377"/>
      <c r="BG290" s="377"/>
      <c r="BH290" s="377"/>
    </row>
    <row r="291" spans="1:60" s="3" customFormat="1" ht="14.25" x14ac:dyDescent="0.2">
      <c r="A291" s="423"/>
      <c r="B291" s="423"/>
      <c r="C291" s="424"/>
      <c r="D291" s="424"/>
      <c r="E291" s="424"/>
      <c r="F291" s="424"/>
      <c r="G291" s="424"/>
      <c r="H291" s="424"/>
      <c r="I291" s="424"/>
      <c r="J291" s="424"/>
      <c r="K291" s="424"/>
      <c r="L291" s="424"/>
      <c r="M291" s="424"/>
      <c r="N291" s="424"/>
      <c r="O291" s="424"/>
      <c r="P291" s="424"/>
      <c r="Q291" s="424"/>
      <c r="R291" s="424"/>
      <c r="S291" s="424"/>
      <c r="T291" s="424"/>
      <c r="U291" s="424"/>
      <c r="V291" s="424"/>
      <c r="W291" s="424"/>
      <c r="X291" s="424"/>
      <c r="Y291" s="424"/>
      <c r="Z291" s="424"/>
      <c r="AA291" s="424"/>
      <c r="AB291" s="424"/>
      <c r="AC291" s="424"/>
      <c r="AD291" s="123">
        <f t="shared" si="10"/>
        <v>0</v>
      </c>
      <c r="AE291" s="603"/>
      <c r="AF291" s="113">
        <f t="shared" si="9"/>
        <v>0</v>
      </c>
      <c r="AG291" s="465"/>
      <c r="AP291" s="377"/>
      <c r="AQ291" s="377"/>
      <c r="AR291" s="377"/>
      <c r="AS291" s="377"/>
      <c r="AT291" s="377"/>
      <c r="AU291" s="377"/>
      <c r="AV291" s="377"/>
      <c r="AW291" s="377"/>
      <c r="AX291" s="377"/>
      <c r="AY291" s="377"/>
      <c r="AZ291" s="377"/>
      <c r="BA291" s="377"/>
      <c r="BB291" s="377"/>
      <c r="BC291" s="377"/>
      <c r="BD291" s="377"/>
      <c r="BE291" s="377"/>
      <c r="BF291" s="377"/>
      <c r="BG291" s="377"/>
      <c r="BH291" s="377"/>
    </row>
    <row r="292" spans="1:60" s="3" customFormat="1" ht="14.25" x14ac:dyDescent="0.2">
      <c r="A292" s="425"/>
      <c r="B292" s="425"/>
      <c r="C292" s="426"/>
      <c r="D292" s="426"/>
      <c r="E292" s="426"/>
      <c r="F292" s="426"/>
      <c r="G292" s="426"/>
      <c r="H292" s="426"/>
      <c r="I292" s="426"/>
      <c r="J292" s="426"/>
      <c r="K292" s="426"/>
      <c r="L292" s="426"/>
      <c r="M292" s="426"/>
      <c r="N292" s="426"/>
      <c r="O292" s="426"/>
      <c r="P292" s="426"/>
      <c r="Q292" s="426"/>
      <c r="R292" s="426"/>
      <c r="S292" s="426"/>
      <c r="T292" s="426"/>
      <c r="U292" s="426"/>
      <c r="V292" s="426"/>
      <c r="W292" s="426"/>
      <c r="X292" s="426"/>
      <c r="Y292" s="426"/>
      <c r="Z292" s="426"/>
      <c r="AA292" s="426"/>
      <c r="AB292" s="426"/>
      <c r="AC292" s="426"/>
      <c r="AD292" s="161">
        <f t="shared" si="10"/>
        <v>0</v>
      </c>
      <c r="AE292" s="602"/>
      <c r="AF292" s="160">
        <f t="shared" si="9"/>
        <v>0</v>
      </c>
      <c r="AG292" s="627"/>
      <c r="AP292" s="377"/>
      <c r="AQ292" s="377"/>
      <c r="AR292" s="377"/>
      <c r="AS292" s="377"/>
      <c r="AT292" s="377"/>
      <c r="AU292" s="377"/>
      <c r="AV292" s="377"/>
      <c r="AW292" s="377"/>
      <c r="AX292" s="377"/>
      <c r="AY292" s="377"/>
      <c r="AZ292" s="377"/>
      <c r="BA292" s="377"/>
      <c r="BB292" s="377"/>
      <c r="BC292" s="377"/>
      <c r="BD292" s="377"/>
      <c r="BE292" s="377"/>
      <c r="BF292" s="377"/>
      <c r="BG292" s="377"/>
      <c r="BH292" s="377"/>
    </row>
    <row r="293" spans="1:60" s="3" customFormat="1" ht="14.25" x14ac:dyDescent="0.2">
      <c r="A293" s="423"/>
      <c r="B293" s="423"/>
      <c r="C293" s="424"/>
      <c r="D293" s="424"/>
      <c r="E293" s="424"/>
      <c r="F293" s="424"/>
      <c r="G293" s="424"/>
      <c r="H293" s="424"/>
      <c r="I293" s="424"/>
      <c r="J293" s="424"/>
      <c r="K293" s="424"/>
      <c r="L293" s="424"/>
      <c r="M293" s="424"/>
      <c r="N293" s="424"/>
      <c r="O293" s="424"/>
      <c r="P293" s="424"/>
      <c r="Q293" s="424"/>
      <c r="R293" s="424"/>
      <c r="S293" s="424"/>
      <c r="T293" s="424"/>
      <c r="U293" s="424"/>
      <c r="V293" s="424"/>
      <c r="W293" s="424"/>
      <c r="X293" s="424"/>
      <c r="Y293" s="424"/>
      <c r="Z293" s="424"/>
      <c r="AA293" s="424"/>
      <c r="AB293" s="424"/>
      <c r="AC293" s="424"/>
      <c r="AD293" s="123">
        <f t="shared" si="10"/>
        <v>0</v>
      </c>
      <c r="AE293" s="603"/>
      <c r="AF293" s="113">
        <f t="shared" si="9"/>
        <v>0</v>
      </c>
      <c r="AG293" s="465"/>
      <c r="AP293" s="377"/>
      <c r="AQ293" s="377"/>
      <c r="AR293" s="377"/>
      <c r="AS293" s="377"/>
      <c r="AT293" s="377"/>
      <c r="AU293" s="377"/>
      <c r="AV293" s="377"/>
      <c r="AW293" s="377"/>
      <c r="AX293" s="377"/>
      <c r="AY293" s="377"/>
      <c r="AZ293" s="377"/>
      <c r="BA293" s="377"/>
      <c r="BB293" s="377"/>
      <c r="BC293" s="377"/>
      <c r="BD293" s="377"/>
      <c r="BE293" s="377"/>
      <c r="BF293" s="377"/>
      <c r="BG293" s="377"/>
      <c r="BH293" s="377"/>
    </row>
    <row r="294" spans="1:60" s="3" customFormat="1" ht="14.25" x14ac:dyDescent="0.2">
      <c r="A294" s="425"/>
      <c r="B294" s="425"/>
      <c r="C294" s="426"/>
      <c r="D294" s="426"/>
      <c r="E294" s="426"/>
      <c r="F294" s="426"/>
      <c r="G294" s="426"/>
      <c r="H294" s="426"/>
      <c r="I294" s="426"/>
      <c r="J294" s="426"/>
      <c r="K294" s="426"/>
      <c r="L294" s="426"/>
      <c r="M294" s="426"/>
      <c r="N294" s="426"/>
      <c r="O294" s="426"/>
      <c r="P294" s="426"/>
      <c r="Q294" s="426"/>
      <c r="R294" s="426"/>
      <c r="S294" s="426"/>
      <c r="T294" s="426"/>
      <c r="U294" s="426"/>
      <c r="V294" s="426"/>
      <c r="W294" s="426"/>
      <c r="X294" s="426"/>
      <c r="Y294" s="426"/>
      <c r="Z294" s="426"/>
      <c r="AA294" s="426"/>
      <c r="AB294" s="426"/>
      <c r="AC294" s="426"/>
      <c r="AD294" s="161">
        <f t="shared" si="10"/>
        <v>0</v>
      </c>
      <c r="AE294" s="602"/>
      <c r="AF294" s="160">
        <f t="shared" si="9"/>
        <v>0</v>
      </c>
      <c r="AG294" s="627"/>
      <c r="AP294" s="377"/>
      <c r="AQ294" s="377"/>
      <c r="AR294" s="377"/>
      <c r="AS294" s="377"/>
      <c r="AT294" s="377"/>
      <c r="AU294" s="377"/>
      <c r="AV294" s="377"/>
      <c r="AW294" s="377"/>
      <c r="AX294" s="377"/>
      <c r="AY294" s="377"/>
      <c r="AZ294" s="377"/>
      <c r="BA294" s="377"/>
      <c r="BB294" s="377"/>
      <c r="BC294" s="377"/>
      <c r="BD294" s="377"/>
      <c r="BE294" s="377"/>
      <c r="BF294" s="377"/>
      <c r="BG294" s="377"/>
      <c r="BH294" s="377"/>
    </row>
    <row r="295" spans="1:60" s="3" customFormat="1" ht="14.25" x14ac:dyDescent="0.2">
      <c r="A295" s="423"/>
      <c r="B295" s="423"/>
      <c r="C295" s="424"/>
      <c r="D295" s="424"/>
      <c r="E295" s="424"/>
      <c r="F295" s="424"/>
      <c r="G295" s="424"/>
      <c r="H295" s="424"/>
      <c r="I295" s="424"/>
      <c r="J295" s="424"/>
      <c r="K295" s="424"/>
      <c r="L295" s="424"/>
      <c r="M295" s="424"/>
      <c r="N295" s="424"/>
      <c r="O295" s="424"/>
      <c r="P295" s="424"/>
      <c r="Q295" s="424"/>
      <c r="R295" s="424"/>
      <c r="S295" s="424"/>
      <c r="T295" s="424"/>
      <c r="U295" s="424"/>
      <c r="V295" s="424"/>
      <c r="W295" s="424"/>
      <c r="X295" s="424"/>
      <c r="Y295" s="424"/>
      <c r="Z295" s="424"/>
      <c r="AA295" s="424"/>
      <c r="AB295" s="424"/>
      <c r="AC295" s="424"/>
      <c r="AD295" s="123">
        <f t="shared" si="10"/>
        <v>0</v>
      </c>
      <c r="AE295" s="603"/>
      <c r="AF295" s="113">
        <f t="shared" si="9"/>
        <v>0</v>
      </c>
      <c r="AG295" s="465"/>
      <c r="AP295" s="377"/>
      <c r="AQ295" s="377"/>
      <c r="AR295" s="377"/>
      <c r="AS295" s="377"/>
      <c r="AT295" s="377"/>
      <c r="AU295" s="377"/>
      <c r="AV295" s="377"/>
      <c r="AW295" s="377"/>
      <c r="AX295" s="377"/>
      <c r="AY295" s="377"/>
      <c r="AZ295" s="377"/>
      <c r="BA295" s="377"/>
      <c r="BB295" s="377"/>
      <c r="BC295" s="377"/>
      <c r="BD295" s="377"/>
      <c r="BE295" s="377"/>
      <c r="BF295" s="377"/>
      <c r="BG295" s="377"/>
      <c r="BH295" s="377"/>
    </row>
    <row r="296" spans="1:60" s="3" customFormat="1" ht="14.25" x14ac:dyDescent="0.2">
      <c r="A296" s="425"/>
      <c r="B296" s="425"/>
      <c r="C296" s="426"/>
      <c r="D296" s="426"/>
      <c r="E296" s="426"/>
      <c r="F296" s="426"/>
      <c r="G296" s="426"/>
      <c r="H296" s="426"/>
      <c r="I296" s="426"/>
      <c r="J296" s="426"/>
      <c r="K296" s="426"/>
      <c r="L296" s="426"/>
      <c r="M296" s="426"/>
      <c r="N296" s="426"/>
      <c r="O296" s="426"/>
      <c r="P296" s="426"/>
      <c r="Q296" s="426"/>
      <c r="R296" s="426"/>
      <c r="S296" s="426"/>
      <c r="T296" s="426"/>
      <c r="U296" s="426"/>
      <c r="V296" s="426"/>
      <c r="W296" s="426"/>
      <c r="X296" s="426"/>
      <c r="Y296" s="426"/>
      <c r="Z296" s="426"/>
      <c r="AA296" s="426"/>
      <c r="AB296" s="426"/>
      <c r="AC296" s="426"/>
      <c r="AD296" s="161">
        <f t="shared" si="10"/>
        <v>0</v>
      </c>
      <c r="AE296" s="602"/>
      <c r="AF296" s="160">
        <f t="shared" si="9"/>
        <v>0</v>
      </c>
      <c r="AG296" s="627"/>
      <c r="AP296" s="377"/>
      <c r="AQ296" s="377"/>
      <c r="AR296" s="377"/>
      <c r="AS296" s="377"/>
      <c r="AT296" s="377"/>
      <c r="AU296" s="377"/>
      <c r="AV296" s="377"/>
      <c r="AW296" s="377"/>
      <c r="AX296" s="377"/>
      <c r="AY296" s="377"/>
      <c r="AZ296" s="377"/>
      <c r="BA296" s="377"/>
      <c r="BB296" s="377"/>
      <c r="BC296" s="377"/>
      <c r="BD296" s="377"/>
      <c r="BE296" s="377"/>
      <c r="BF296" s="377"/>
      <c r="BG296" s="377"/>
      <c r="BH296" s="377"/>
    </row>
    <row r="297" spans="1:60" s="3" customFormat="1" ht="14.25" x14ac:dyDescent="0.2">
      <c r="A297" s="423"/>
      <c r="B297" s="423"/>
      <c r="C297" s="424"/>
      <c r="D297" s="424"/>
      <c r="E297" s="424"/>
      <c r="F297" s="424"/>
      <c r="G297" s="424"/>
      <c r="H297" s="424"/>
      <c r="I297" s="424"/>
      <c r="J297" s="424"/>
      <c r="K297" s="424"/>
      <c r="L297" s="424"/>
      <c r="M297" s="424"/>
      <c r="N297" s="424"/>
      <c r="O297" s="424"/>
      <c r="P297" s="424"/>
      <c r="Q297" s="424"/>
      <c r="R297" s="424"/>
      <c r="S297" s="424"/>
      <c r="T297" s="424"/>
      <c r="U297" s="424"/>
      <c r="V297" s="424"/>
      <c r="W297" s="424"/>
      <c r="X297" s="424"/>
      <c r="Y297" s="424"/>
      <c r="Z297" s="424"/>
      <c r="AA297" s="424"/>
      <c r="AB297" s="424"/>
      <c r="AC297" s="424"/>
      <c r="AD297" s="123">
        <f t="shared" si="10"/>
        <v>0</v>
      </c>
      <c r="AE297" s="603"/>
      <c r="AF297" s="113">
        <f t="shared" si="9"/>
        <v>0</v>
      </c>
      <c r="AG297" s="465"/>
      <c r="AP297" s="377"/>
      <c r="AQ297" s="377"/>
      <c r="AR297" s="377"/>
      <c r="AS297" s="377"/>
      <c r="AT297" s="377"/>
      <c r="AU297" s="377"/>
      <c r="AV297" s="377"/>
      <c r="AW297" s="377"/>
      <c r="AX297" s="377"/>
      <c r="AY297" s="377"/>
      <c r="AZ297" s="377"/>
      <c r="BA297" s="377"/>
      <c r="BB297" s="377"/>
      <c r="BC297" s="377"/>
      <c r="BD297" s="377"/>
      <c r="BE297" s="377"/>
      <c r="BF297" s="377"/>
      <c r="BG297" s="377"/>
      <c r="BH297" s="377"/>
    </row>
    <row r="298" spans="1:60" s="3" customFormat="1" ht="14.25" x14ac:dyDescent="0.2">
      <c r="A298" s="425"/>
      <c r="B298" s="425"/>
      <c r="C298" s="426"/>
      <c r="D298" s="426"/>
      <c r="E298" s="426"/>
      <c r="F298" s="426"/>
      <c r="G298" s="426"/>
      <c r="H298" s="426"/>
      <c r="I298" s="426"/>
      <c r="J298" s="426"/>
      <c r="K298" s="426"/>
      <c r="L298" s="426"/>
      <c r="M298" s="426"/>
      <c r="N298" s="426"/>
      <c r="O298" s="426"/>
      <c r="P298" s="426"/>
      <c r="Q298" s="426"/>
      <c r="R298" s="426"/>
      <c r="S298" s="426"/>
      <c r="T298" s="426"/>
      <c r="U298" s="426"/>
      <c r="V298" s="426"/>
      <c r="W298" s="426"/>
      <c r="X298" s="426"/>
      <c r="Y298" s="426"/>
      <c r="Z298" s="426"/>
      <c r="AA298" s="426"/>
      <c r="AB298" s="426"/>
      <c r="AC298" s="426"/>
      <c r="AD298" s="161">
        <f t="shared" si="10"/>
        <v>0</v>
      </c>
      <c r="AE298" s="602"/>
      <c r="AF298" s="160">
        <f t="shared" si="9"/>
        <v>0</v>
      </c>
      <c r="AG298" s="627"/>
      <c r="AP298" s="377"/>
      <c r="AQ298" s="377"/>
      <c r="AR298" s="377"/>
      <c r="AS298" s="377"/>
      <c r="AT298" s="377"/>
      <c r="AU298" s="377"/>
      <c r="AV298" s="377"/>
      <c r="AW298" s="377"/>
      <c r="AX298" s="377"/>
      <c r="AY298" s="377"/>
      <c r="AZ298" s="377"/>
      <c r="BA298" s="377"/>
      <c r="BB298" s="377"/>
      <c r="BC298" s="377"/>
      <c r="BD298" s="377"/>
      <c r="BE298" s="377"/>
      <c r="BF298" s="377"/>
      <c r="BG298" s="377"/>
      <c r="BH298" s="377"/>
    </row>
    <row r="299" spans="1:60" s="3" customFormat="1" ht="14.25" x14ac:dyDescent="0.2">
      <c r="A299" s="423"/>
      <c r="B299" s="423"/>
      <c r="C299" s="424"/>
      <c r="D299" s="424"/>
      <c r="E299" s="424"/>
      <c r="F299" s="424"/>
      <c r="G299" s="424"/>
      <c r="H299" s="424"/>
      <c r="I299" s="424"/>
      <c r="J299" s="424"/>
      <c r="K299" s="424"/>
      <c r="L299" s="424"/>
      <c r="M299" s="424"/>
      <c r="N299" s="424"/>
      <c r="O299" s="424"/>
      <c r="P299" s="424"/>
      <c r="Q299" s="424"/>
      <c r="R299" s="424"/>
      <c r="S299" s="424"/>
      <c r="T299" s="424"/>
      <c r="U299" s="424"/>
      <c r="V299" s="424"/>
      <c r="W299" s="424"/>
      <c r="X299" s="424"/>
      <c r="Y299" s="424"/>
      <c r="Z299" s="424"/>
      <c r="AA299" s="424"/>
      <c r="AB299" s="424"/>
      <c r="AC299" s="424"/>
      <c r="AD299" s="123">
        <f t="shared" si="10"/>
        <v>0</v>
      </c>
      <c r="AE299" s="603"/>
      <c r="AF299" s="113">
        <f t="shared" si="9"/>
        <v>0</v>
      </c>
      <c r="AG299" s="465"/>
      <c r="AP299" s="377"/>
      <c r="AQ299" s="377"/>
      <c r="AR299" s="377"/>
      <c r="AS299" s="377"/>
      <c r="AT299" s="377"/>
      <c r="AU299" s="377"/>
      <c r="AV299" s="377"/>
      <c r="AW299" s="377"/>
      <c r="AX299" s="377"/>
      <c r="AY299" s="377"/>
      <c r="AZ299" s="377"/>
      <c r="BA299" s="377"/>
      <c r="BB299" s="377"/>
      <c r="BC299" s="377"/>
      <c r="BD299" s="377"/>
      <c r="BE299" s="377"/>
      <c r="BF299" s="377"/>
      <c r="BG299" s="377"/>
      <c r="BH299" s="377"/>
    </row>
    <row r="300" spans="1:60" s="3" customFormat="1" ht="14.25" x14ac:dyDescent="0.2">
      <c r="A300" s="425"/>
      <c r="B300" s="425"/>
      <c r="C300" s="426"/>
      <c r="D300" s="426"/>
      <c r="E300" s="426"/>
      <c r="F300" s="426"/>
      <c r="G300" s="426"/>
      <c r="H300" s="426"/>
      <c r="I300" s="426"/>
      <c r="J300" s="426"/>
      <c r="K300" s="426"/>
      <c r="L300" s="426"/>
      <c r="M300" s="426"/>
      <c r="N300" s="426"/>
      <c r="O300" s="426"/>
      <c r="P300" s="426"/>
      <c r="Q300" s="426"/>
      <c r="R300" s="426"/>
      <c r="S300" s="426"/>
      <c r="T300" s="426"/>
      <c r="U300" s="426"/>
      <c r="V300" s="426"/>
      <c r="W300" s="426"/>
      <c r="X300" s="426"/>
      <c r="Y300" s="426"/>
      <c r="Z300" s="426"/>
      <c r="AA300" s="426"/>
      <c r="AB300" s="426"/>
      <c r="AC300" s="426"/>
      <c r="AD300" s="161">
        <f t="shared" si="10"/>
        <v>0</v>
      </c>
      <c r="AE300" s="602"/>
      <c r="AF300" s="160">
        <f t="shared" si="9"/>
        <v>0</v>
      </c>
      <c r="AG300" s="627"/>
      <c r="AP300" s="377"/>
      <c r="AQ300" s="377"/>
      <c r="AR300" s="377"/>
      <c r="AS300" s="377"/>
      <c r="AT300" s="377"/>
      <c r="AU300" s="377"/>
      <c r="AV300" s="377"/>
      <c r="AW300" s="377"/>
      <c r="AX300" s="377"/>
      <c r="AY300" s="377"/>
      <c r="AZ300" s="377"/>
      <c r="BA300" s="377"/>
      <c r="BB300" s="377"/>
      <c r="BC300" s="377"/>
      <c r="BD300" s="377"/>
      <c r="BE300" s="377"/>
      <c r="BF300" s="377"/>
      <c r="BG300" s="377"/>
      <c r="BH300" s="377"/>
    </row>
    <row r="301" spans="1:60" s="3" customFormat="1" ht="14.25" x14ac:dyDescent="0.2">
      <c r="A301" s="423"/>
      <c r="B301" s="423"/>
      <c r="C301" s="424"/>
      <c r="D301" s="424"/>
      <c r="E301" s="424"/>
      <c r="F301" s="424"/>
      <c r="G301" s="424"/>
      <c r="H301" s="424"/>
      <c r="I301" s="424"/>
      <c r="J301" s="424"/>
      <c r="K301" s="424"/>
      <c r="L301" s="424"/>
      <c r="M301" s="424"/>
      <c r="N301" s="424"/>
      <c r="O301" s="424"/>
      <c r="P301" s="424"/>
      <c r="Q301" s="424"/>
      <c r="R301" s="424"/>
      <c r="S301" s="424"/>
      <c r="T301" s="424"/>
      <c r="U301" s="424"/>
      <c r="V301" s="424"/>
      <c r="W301" s="424"/>
      <c r="X301" s="424"/>
      <c r="Y301" s="424"/>
      <c r="Z301" s="424"/>
      <c r="AA301" s="424"/>
      <c r="AB301" s="424"/>
      <c r="AC301" s="424"/>
      <c r="AD301" s="123">
        <f t="shared" si="10"/>
        <v>0</v>
      </c>
      <c r="AE301" s="603"/>
      <c r="AF301" s="113">
        <f>AD301*AE301</f>
        <v>0</v>
      </c>
      <c r="AG301" s="465"/>
      <c r="AP301" s="377"/>
      <c r="AQ301" s="377"/>
      <c r="AR301" s="377"/>
      <c r="AS301" s="377"/>
      <c r="AT301" s="377"/>
      <c r="AU301" s="377"/>
      <c r="AV301" s="377"/>
      <c r="AW301" s="377"/>
      <c r="AX301" s="377"/>
      <c r="AY301" s="377"/>
      <c r="AZ301" s="377"/>
      <c r="BA301" s="377"/>
      <c r="BB301" s="377"/>
      <c r="BC301" s="377"/>
      <c r="BD301" s="377"/>
      <c r="BE301" s="377"/>
      <c r="BF301" s="377"/>
      <c r="BG301" s="377"/>
      <c r="BH301" s="377"/>
    </row>
    <row r="302" spans="1:60" s="3" customFormat="1" ht="14.25" x14ac:dyDescent="0.2">
      <c r="A302" s="425"/>
      <c r="B302" s="425"/>
      <c r="C302" s="426"/>
      <c r="D302" s="426"/>
      <c r="E302" s="426"/>
      <c r="F302" s="426"/>
      <c r="G302" s="426"/>
      <c r="H302" s="426"/>
      <c r="I302" s="426"/>
      <c r="J302" s="426"/>
      <c r="K302" s="426"/>
      <c r="L302" s="426"/>
      <c r="M302" s="426"/>
      <c r="N302" s="426"/>
      <c r="O302" s="426"/>
      <c r="P302" s="426"/>
      <c r="Q302" s="426"/>
      <c r="R302" s="426"/>
      <c r="S302" s="426"/>
      <c r="T302" s="426"/>
      <c r="U302" s="426"/>
      <c r="V302" s="426"/>
      <c r="W302" s="426"/>
      <c r="X302" s="426"/>
      <c r="Y302" s="426"/>
      <c r="Z302" s="426"/>
      <c r="AA302" s="426"/>
      <c r="AB302" s="426"/>
      <c r="AC302" s="426"/>
      <c r="AD302" s="161">
        <f t="shared" si="10"/>
        <v>0</v>
      </c>
      <c r="AE302" s="602"/>
      <c r="AF302" s="160">
        <f>AD302*AE302</f>
        <v>0</v>
      </c>
      <c r="AG302" s="627"/>
      <c r="AK302"/>
      <c r="AP302" s="377"/>
      <c r="AQ302" s="377"/>
      <c r="AR302" s="377"/>
      <c r="AS302" s="377"/>
      <c r="AT302" s="377"/>
      <c r="AU302" s="377"/>
      <c r="AV302" s="377"/>
      <c r="AW302" s="377"/>
      <c r="AX302" s="377"/>
      <c r="AY302" s="377"/>
      <c r="AZ302" s="377"/>
      <c r="BA302" s="377"/>
      <c r="BB302" s="377"/>
      <c r="BC302" s="377"/>
      <c r="BD302" s="377"/>
      <c r="BE302" s="377"/>
      <c r="BF302" s="377"/>
      <c r="BG302" s="377"/>
      <c r="BH302" s="377"/>
    </row>
    <row r="303" spans="1:60" s="3" customFormat="1" ht="14.25" x14ac:dyDescent="0.2">
      <c r="A303" s="423"/>
      <c r="B303" s="423"/>
      <c r="C303" s="424"/>
      <c r="D303" s="424"/>
      <c r="E303" s="424"/>
      <c r="F303" s="424"/>
      <c r="G303" s="424"/>
      <c r="H303" s="424"/>
      <c r="I303" s="424"/>
      <c r="J303" s="424"/>
      <c r="K303" s="424"/>
      <c r="L303" s="424"/>
      <c r="M303" s="424"/>
      <c r="N303" s="424"/>
      <c r="O303" s="424"/>
      <c r="P303" s="424"/>
      <c r="Q303" s="424"/>
      <c r="R303" s="424"/>
      <c r="S303" s="424"/>
      <c r="T303" s="424"/>
      <c r="U303" s="424"/>
      <c r="V303" s="424"/>
      <c r="W303" s="424"/>
      <c r="X303" s="424"/>
      <c r="Y303" s="424"/>
      <c r="Z303" s="424"/>
      <c r="AA303" s="424"/>
      <c r="AB303" s="424"/>
      <c r="AC303" s="424"/>
      <c r="AD303" s="123">
        <f t="shared" si="10"/>
        <v>0</v>
      </c>
      <c r="AE303" s="603"/>
      <c r="AF303" s="113">
        <f t="shared" ref="AF303" si="11">AD303*AE303</f>
        <v>0</v>
      </c>
      <c r="AG303" s="465"/>
      <c r="AK303"/>
      <c r="AP303" s="377"/>
      <c r="AQ303" s="377"/>
      <c r="AR303" s="377"/>
      <c r="AS303" s="377"/>
      <c r="AT303" s="377"/>
      <c r="AU303" s="377"/>
      <c r="AV303" s="377"/>
      <c r="AW303" s="377"/>
      <c r="AX303" s="377"/>
      <c r="AY303" s="377"/>
      <c r="AZ303" s="377"/>
      <c r="BA303" s="377"/>
      <c r="BB303" s="377"/>
      <c r="BC303" s="377"/>
      <c r="BD303" s="377"/>
      <c r="BE303" s="377"/>
      <c r="BF303" s="377"/>
      <c r="BG303" s="377"/>
      <c r="BH303" s="377"/>
    </row>
    <row r="304" spans="1:60" s="3" customFormat="1" ht="15" x14ac:dyDescent="0.25">
      <c r="A304" s="115"/>
      <c r="B304" s="76" t="s">
        <v>94</v>
      </c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  <c r="AB304" s="116"/>
      <c r="AC304" s="116"/>
      <c r="AD304" s="129">
        <f>SUM(AD14:AD303)</f>
        <v>0</v>
      </c>
      <c r="AE304" s="117"/>
      <c r="AF304" s="118">
        <f>SUM(AF14:AF303)</f>
        <v>0</v>
      </c>
      <c r="AG304" s="405"/>
      <c r="AK304"/>
      <c r="AP304" s="377"/>
      <c r="AQ304" s="377"/>
      <c r="AR304" s="377"/>
      <c r="AS304" s="377"/>
      <c r="AT304" s="377"/>
      <c r="AU304" s="377"/>
      <c r="AV304" s="377"/>
      <c r="AW304" s="377"/>
      <c r="AX304" s="377"/>
      <c r="AY304" s="377"/>
      <c r="AZ304" s="377"/>
      <c r="BA304" s="377"/>
      <c r="BB304" s="377"/>
      <c r="BC304" s="377"/>
      <c r="BD304" s="377"/>
      <c r="BE304" s="377"/>
      <c r="BF304" s="377"/>
      <c r="BG304" s="377"/>
      <c r="BH304" s="377"/>
    </row>
    <row r="305" spans="1:60" s="3" customFormat="1" ht="14.25" x14ac:dyDescent="0.2">
      <c r="A305" s="77"/>
      <c r="AE305" s="119"/>
      <c r="AG305" s="122"/>
      <c r="AK305"/>
      <c r="AP305" s="377"/>
      <c r="AQ305" s="377"/>
      <c r="AR305" s="377"/>
      <c r="AS305" s="377"/>
      <c r="AT305" s="377"/>
      <c r="AU305" s="377"/>
      <c r="AV305" s="377"/>
      <c r="AW305" s="377"/>
      <c r="AX305" s="377"/>
      <c r="AY305" s="377"/>
      <c r="AZ305" s="377"/>
      <c r="BA305" s="377"/>
      <c r="BB305" s="377"/>
      <c r="BC305" s="377"/>
      <c r="BD305" s="377"/>
      <c r="BE305" s="377"/>
      <c r="BF305" s="377"/>
      <c r="BG305" s="377"/>
      <c r="BH305" s="377"/>
    </row>
    <row r="306" spans="1:60" s="3" customFormat="1" ht="14.25" x14ac:dyDescent="0.2">
      <c r="A306" s="77"/>
      <c r="AE306" s="119"/>
      <c r="AK306"/>
      <c r="AP306" s="377"/>
      <c r="AQ306" s="377"/>
      <c r="AR306" s="377"/>
      <c r="AS306" s="377"/>
      <c r="AT306" s="377"/>
      <c r="AU306" s="377"/>
      <c r="AV306" s="377"/>
      <c r="AW306" s="377"/>
      <c r="AX306" s="377"/>
      <c r="AY306" s="377"/>
      <c r="AZ306" s="377"/>
      <c r="BA306" s="377"/>
      <c r="BB306" s="377"/>
      <c r="BC306" s="377"/>
      <c r="BD306" s="377"/>
      <c r="BE306" s="377"/>
      <c r="BF306" s="377"/>
      <c r="BG306" s="377"/>
      <c r="BH306" s="377"/>
    </row>
    <row r="307" spans="1:60" s="3" customFormat="1" ht="14.25" x14ac:dyDescent="0.2">
      <c r="A307" s="77"/>
      <c r="AE307" s="119"/>
      <c r="AK307"/>
      <c r="AP307" s="377"/>
      <c r="AQ307" s="377"/>
      <c r="AR307" s="377"/>
      <c r="AS307" s="377"/>
      <c r="AT307" s="377"/>
      <c r="AU307" s="377"/>
      <c r="AV307" s="377"/>
      <c r="AW307" s="377"/>
      <c r="AX307" s="377"/>
      <c r="AY307" s="377"/>
      <c r="AZ307" s="377"/>
      <c r="BA307" s="377"/>
      <c r="BB307" s="377"/>
      <c r="BC307" s="377"/>
      <c r="BD307" s="377"/>
      <c r="BE307" s="377"/>
      <c r="BF307" s="377"/>
      <c r="BG307" s="377"/>
      <c r="BH307" s="377"/>
    </row>
    <row r="308" spans="1:60" ht="14.25" x14ac:dyDescent="0.2">
      <c r="AN308" s="3"/>
    </row>
  </sheetData>
  <sheetProtection algorithmName="SHA-512" hashValue="cZfUT57de56NYe2Wy5dBsPKhQ4TgGYsRQmgcDeSEH8kJSatijsiFCFyszHOKCy+JwKamtnNCsqYvQP7tBvvFww==" saltValue="yZ+bn5HR947KG7J/BusNkw==" spinCount="100000" sheet="1" selectLockedCells="1"/>
  <sortState xmlns:xlrd2="http://schemas.microsoft.com/office/spreadsheetml/2017/richdata2" ref="AK14:AK40">
    <sortCondition ref="AK14:AK40"/>
  </sortState>
  <mergeCells count="36">
    <mergeCell ref="AH2:AJ2"/>
    <mergeCell ref="B1:AB2"/>
    <mergeCell ref="Q4:AB4"/>
    <mergeCell ref="Q5:AB5"/>
    <mergeCell ref="Q6:AB6"/>
    <mergeCell ref="B4:C4"/>
    <mergeCell ref="B5:C5"/>
    <mergeCell ref="D5:H5"/>
    <mergeCell ref="B6:C6"/>
    <mergeCell ref="N4:P4"/>
    <mergeCell ref="N5:P5"/>
    <mergeCell ref="D4:H4"/>
    <mergeCell ref="N6:P6"/>
    <mergeCell ref="D6:H6"/>
    <mergeCell ref="A12:B12"/>
    <mergeCell ref="K3:O3"/>
    <mergeCell ref="AE4:AF5"/>
    <mergeCell ref="AD7:AE7"/>
    <mergeCell ref="E9:F9"/>
    <mergeCell ref="AD6:AE6"/>
    <mergeCell ref="E8:L8"/>
    <mergeCell ref="AD12:AE12"/>
    <mergeCell ref="T8:U8"/>
    <mergeCell ref="V8:AB8"/>
    <mergeCell ref="Q7:AB7"/>
    <mergeCell ref="O7:P7"/>
    <mergeCell ref="AC11:AD11"/>
    <mergeCell ref="AE10:AF10"/>
    <mergeCell ref="AC10:AD10"/>
    <mergeCell ref="A9:B11"/>
    <mergeCell ref="AE11:AF11"/>
    <mergeCell ref="O8:P8"/>
    <mergeCell ref="Q8:S8"/>
    <mergeCell ref="G9:O9"/>
    <mergeCell ref="C10:AB10"/>
    <mergeCell ref="C11:AB11"/>
  </mergeCells>
  <dataValidations count="3">
    <dataValidation type="whole" allowBlank="1" showInputMessage="1" showErrorMessage="1" sqref="D14:AC303" xr:uid="{97262B7E-624D-4AF9-8E21-ADEFDDA0C1DA}">
      <formula1>1</formula1>
      <formula2>6</formula2>
    </dataValidation>
    <dataValidation type="list" allowBlank="1" showInputMessage="1" showErrorMessage="1" sqref="C14:C303" xr:uid="{FB04FA9B-792E-486B-BE6C-27A2608D071F}">
      <formula1>$AJ$14:$AJ$25</formula1>
    </dataValidation>
    <dataValidation type="list" allowBlank="1" showInputMessage="1" showErrorMessage="1" sqref="B14:B303" xr:uid="{FD968D56-E6E3-4E33-BBA5-4F0004A19D80}">
      <formula1>$AK$14:$AK$58</formula1>
    </dataValidation>
  </dataValidations>
  <pageMargins left="0" right="0" top="0.25" bottom="0.25" header="0.3" footer="0.3"/>
  <pageSetup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  <pageSetUpPr fitToPage="1"/>
  </sheetPr>
  <dimension ref="A1:AX63"/>
  <sheetViews>
    <sheetView showGridLines="0" zoomScale="70" zoomScaleNormal="70" workbookViewId="0">
      <pane ySplit="13" topLeftCell="A14" activePane="bottomLeft" state="frozen"/>
      <selection pane="bottomLeft" activeCell="AB10" sqref="AB10:AC10"/>
    </sheetView>
  </sheetViews>
  <sheetFormatPr defaultRowHeight="12.75" x14ac:dyDescent="0.2"/>
  <cols>
    <col min="1" max="1" width="13" customWidth="1"/>
    <col min="2" max="2" width="12.42578125" customWidth="1"/>
    <col min="3" max="3" width="6.28515625" bestFit="1" customWidth="1"/>
    <col min="4" max="26" width="6.5703125" customWidth="1"/>
    <col min="27" max="27" width="16.28515625" customWidth="1"/>
    <col min="28" max="28" width="14.140625" style="14" customWidth="1"/>
    <col min="29" max="29" width="15.7109375" customWidth="1"/>
    <col min="30" max="30" width="18.5703125" customWidth="1"/>
    <col min="31" max="31" width="12" customWidth="1"/>
    <col min="32" max="32" width="18.28515625" bestFit="1" customWidth="1"/>
    <col min="33" max="34" width="12.5703125" bestFit="1" customWidth="1"/>
  </cols>
  <sheetData>
    <row r="1" spans="1:43" s="1" customFormat="1" x14ac:dyDescent="0.2">
      <c r="A1" s="5"/>
      <c r="B1" s="1239" t="str">
        <f>'NEW SHOES'!E1</f>
        <v>FALL 2026 PROGRAM NEW SHOES</v>
      </c>
      <c r="C1" s="1240"/>
      <c r="D1" s="1240"/>
      <c r="E1" s="1240"/>
      <c r="F1" s="1240"/>
      <c r="G1" s="1240"/>
      <c r="H1" s="1240"/>
      <c r="I1" s="1240"/>
      <c r="J1" s="1240"/>
      <c r="K1" s="1240"/>
      <c r="L1" s="1240"/>
      <c r="M1" s="1240"/>
      <c r="N1" s="1240"/>
      <c r="O1" s="1240"/>
      <c r="P1" s="1240"/>
      <c r="Q1" s="1240"/>
      <c r="R1" s="1240"/>
      <c r="S1" s="1240"/>
      <c r="T1" s="1240"/>
      <c r="U1" s="1240"/>
      <c r="V1" s="1240"/>
      <c r="W1" s="1240"/>
      <c r="X1" s="1240"/>
      <c r="Y1" s="1241"/>
      <c r="Z1"/>
      <c r="AA1" s="49" t="s">
        <v>95</v>
      </c>
      <c r="AB1" s="49"/>
      <c r="AC1" s="49"/>
      <c r="AD1" s="9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spans="1:43" s="1" customFormat="1" ht="24" thickBot="1" x14ac:dyDescent="0.25">
      <c r="A2" s="5"/>
      <c r="B2" s="1242"/>
      <c r="C2" s="1243"/>
      <c r="D2" s="1243"/>
      <c r="E2" s="1243"/>
      <c r="F2" s="1243"/>
      <c r="G2" s="1243"/>
      <c r="H2" s="1243"/>
      <c r="I2" s="1243"/>
      <c r="J2" s="1243"/>
      <c r="K2" s="1243"/>
      <c r="L2" s="1243"/>
      <c r="M2" s="1243"/>
      <c r="N2" s="1243"/>
      <c r="O2" s="1243"/>
      <c r="P2" s="1243"/>
      <c r="Q2" s="1243"/>
      <c r="R2" s="1243"/>
      <c r="S2" s="1243"/>
      <c r="T2" s="1243"/>
      <c r="U2" s="1243"/>
      <c r="V2" s="1243"/>
      <c r="W2" s="1243"/>
      <c r="X2" s="1243"/>
      <c r="Y2" s="1244"/>
      <c r="Z2"/>
      <c r="AA2" s="49"/>
      <c r="AB2" s="1198"/>
      <c r="AC2" s="1198"/>
      <c r="AD2" s="50"/>
      <c r="AE2" s="614"/>
      <c r="AF2" s="3"/>
      <c r="AG2" s="3"/>
      <c r="AH2" s="3"/>
      <c r="AI2" s="3"/>
      <c r="AJ2" s="3"/>
      <c r="AK2" s="3"/>
      <c r="AL2" s="3"/>
      <c r="AM2" s="3"/>
      <c r="AN2" s="3"/>
      <c r="AO2" s="3"/>
      <c r="AP2" s="5"/>
      <c r="AQ2" s="5"/>
    </row>
    <row r="3" spans="1:43" s="1" customFormat="1" ht="16.5" thickBot="1" x14ac:dyDescent="0.3">
      <c r="A3" s="5"/>
      <c r="B3" s="1217" t="s">
        <v>5</v>
      </c>
      <c r="C3" s="1217"/>
      <c r="D3" s="1188">
        <f>'NEW SHOES'!F4</f>
        <v>0</v>
      </c>
      <c r="E3" s="1174"/>
      <c r="F3" s="1174"/>
      <c r="G3" s="1174"/>
      <c r="H3" s="1175"/>
      <c r="I3" s="414"/>
      <c r="J3" s="414"/>
      <c r="K3" s="414"/>
      <c r="L3" s="414"/>
      <c r="M3" s="5"/>
      <c r="N3" s="1247" t="s">
        <v>6</v>
      </c>
      <c r="O3" s="1248"/>
      <c r="P3" s="1249"/>
      <c r="Q3" s="1245">
        <f>'NEW SHOES'!P4</f>
        <v>0</v>
      </c>
      <c r="R3" s="1174"/>
      <c r="S3" s="1174"/>
      <c r="T3" s="1174"/>
      <c r="U3" s="1174"/>
      <c r="V3" s="1174"/>
      <c r="W3" s="1174"/>
      <c r="X3" s="1174"/>
      <c r="Y3" s="1175"/>
      <c r="Z3"/>
      <c r="AA3" s="58" t="str">
        <f>'NEW SHOES'!W4</f>
        <v>NO</v>
      </c>
      <c r="AB3" s="1137" t="s">
        <v>74</v>
      </c>
      <c r="AC3" s="1138"/>
      <c r="AD3" s="722"/>
      <c r="AE3" s="723"/>
      <c r="AF3" s="125"/>
      <c r="AG3" s="112"/>
      <c r="AH3" s="112"/>
      <c r="AI3" s="3"/>
      <c r="AJ3" s="3"/>
      <c r="AK3" s="3"/>
      <c r="AL3" s="3"/>
      <c r="AM3" s="3"/>
      <c r="AN3" s="3"/>
      <c r="AO3" s="3"/>
      <c r="AP3" s="5"/>
      <c r="AQ3" s="5"/>
    </row>
    <row r="4" spans="1:43" s="1" customFormat="1" ht="16.5" thickBot="1" x14ac:dyDescent="0.25">
      <c r="A4" s="5"/>
      <c r="B4" s="1217" t="s">
        <v>12</v>
      </c>
      <c r="C4" s="1217"/>
      <c r="D4" s="1223">
        <f>'NEW SHOES'!F5</f>
        <v>0</v>
      </c>
      <c r="E4" s="1202"/>
      <c r="F4" s="1202"/>
      <c r="G4" s="1202"/>
      <c r="H4" s="1203"/>
      <c r="I4" s="415"/>
      <c r="J4" s="415"/>
      <c r="K4" s="415"/>
      <c r="L4" s="415"/>
      <c r="M4" s="5"/>
      <c r="N4" s="1226" t="s">
        <v>13</v>
      </c>
      <c r="O4" s="1217"/>
      <c r="P4" s="1225"/>
      <c r="Q4" s="1201">
        <f>'NEW SHOES'!P5</f>
        <v>0</v>
      </c>
      <c r="R4" s="1202"/>
      <c r="S4" s="1202"/>
      <c r="T4" s="1202"/>
      <c r="U4" s="1202"/>
      <c r="V4" s="1202"/>
      <c r="W4" s="1202"/>
      <c r="X4" s="1202"/>
      <c r="Y4" s="1203"/>
      <c r="Z4"/>
      <c r="AA4" s="49"/>
      <c r="AB4" s="1199"/>
      <c r="AC4" s="1200"/>
      <c r="AD4" s="722"/>
      <c r="AE4" s="723"/>
      <c r="AF4" s="724"/>
      <c r="AG4" s="687"/>
      <c r="AH4" s="687"/>
      <c r="AI4" s="3"/>
      <c r="AJ4" s="3"/>
      <c r="AK4" s="3"/>
      <c r="AL4" s="3"/>
      <c r="AM4" s="3"/>
      <c r="AN4" s="3"/>
      <c r="AO4" s="3"/>
      <c r="AP4" s="5"/>
      <c r="AQ4" s="5"/>
    </row>
    <row r="5" spans="1:43" s="1" customFormat="1" ht="16.5" thickBot="1" x14ac:dyDescent="0.25">
      <c r="A5" s="5"/>
      <c r="B5" s="1217" t="s">
        <v>18</v>
      </c>
      <c r="C5" s="1217"/>
      <c r="D5" s="1220" t="str">
        <f>'NEW SHOES'!F6</f>
        <v xml:space="preserve">F26 A </v>
      </c>
      <c r="E5" s="1221"/>
      <c r="F5" s="1221"/>
      <c r="G5" s="1221"/>
      <c r="H5" s="1222"/>
      <c r="I5" s="70"/>
      <c r="J5" s="70"/>
      <c r="K5" s="70"/>
      <c r="L5" s="70"/>
      <c r="M5" s="5"/>
      <c r="N5" s="1226" t="s">
        <v>77</v>
      </c>
      <c r="O5" s="1217"/>
      <c r="P5" s="1225"/>
      <c r="Q5" s="1201">
        <f>'NEW SHOES'!P6</f>
        <v>0</v>
      </c>
      <c r="R5" s="1202"/>
      <c r="S5" s="1202"/>
      <c r="T5" s="1202"/>
      <c r="U5" s="1202"/>
      <c r="V5" s="1202"/>
      <c r="W5" s="1202"/>
      <c r="X5" s="1202"/>
      <c r="Y5" s="1203"/>
      <c r="Z5"/>
      <c r="AA5" s="1194" t="s">
        <v>96</v>
      </c>
      <c r="AB5" s="1216"/>
      <c r="AC5" s="726">
        <f>AA57</f>
        <v>0</v>
      </c>
      <c r="AD5" s="722"/>
      <c r="AE5" s="722"/>
      <c r="AF5" s="724"/>
      <c r="AG5" s="687"/>
      <c r="AH5" s="687"/>
      <c r="AI5" s="5"/>
      <c r="AJ5" s="5"/>
      <c r="AK5" s="5"/>
      <c r="AL5" s="5"/>
      <c r="AM5" s="5"/>
      <c r="AN5" s="5"/>
      <c r="AO5" s="5"/>
      <c r="AP5" s="5"/>
      <c r="AQ5" s="5"/>
    </row>
    <row r="6" spans="1:43" s="1" customFormat="1" ht="16.5" thickBot="1" x14ac:dyDescent="0.3">
      <c r="A6" s="5"/>
      <c r="B6" s="1217"/>
      <c r="C6" s="1217"/>
      <c r="D6" s="1224"/>
      <c r="E6" s="1224"/>
      <c r="F6" s="1224"/>
      <c r="G6" s="1224"/>
      <c r="H6" s="1224"/>
      <c r="I6" s="45"/>
      <c r="J6" s="45"/>
      <c r="K6" s="45"/>
      <c r="L6" s="45"/>
      <c r="M6" s="5"/>
      <c r="N6" s="227"/>
      <c r="O6" s="1217" t="s">
        <v>24</v>
      </c>
      <c r="P6" s="1225"/>
      <c r="Q6" s="1201">
        <f>'NEW SHOES'!P7</f>
        <v>0</v>
      </c>
      <c r="R6" s="1202"/>
      <c r="S6" s="1202"/>
      <c r="T6" s="1202"/>
      <c r="U6" s="1202"/>
      <c r="V6" s="1202"/>
      <c r="W6" s="1202"/>
      <c r="X6" s="1202"/>
      <c r="Y6" s="1203"/>
      <c r="Z6"/>
      <c r="AA6" s="1218" t="s">
        <v>97</v>
      </c>
      <c r="AB6" s="1219"/>
      <c r="AC6" s="727">
        <f>AC57</f>
        <v>0</v>
      </c>
      <c r="AD6" s="722"/>
      <c r="AE6" s="722"/>
      <c r="AF6" s="724"/>
      <c r="AG6" s="687"/>
      <c r="AH6" s="687"/>
      <c r="AI6" s="112"/>
      <c r="AJ6" s="112"/>
      <c r="AK6" s="112"/>
      <c r="AL6" s="112"/>
      <c r="AM6" s="112"/>
      <c r="AN6" s="112"/>
      <c r="AO6" s="112"/>
      <c r="AP6" s="112"/>
      <c r="AQ6" s="112"/>
    </row>
    <row r="7" spans="1:43" s="1" customFormat="1" ht="16.5" thickBot="1" x14ac:dyDescent="0.25">
      <c r="A7" s="5"/>
      <c r="B7" s="5"/>
      <c r="C7" s="5"/>
      <c r="D7" s="27"/>
      <c r="E7" s="1143"/>
      <c r="F7" s="1143"/>
      <c r="G7" s="1143"/>
      <c r="H7" s="1143"/>
      <c r="I7" s="1143"/>
      <c r="J7" s="1143"/>
      <c r="K7" s="1143"/>
      <c r="L7" s="1143"/>
      <c r="M7" s="5"/>
      <c r="N7" s="228"/>
      <c r="O7" s="1196" t="s">
        <v>83</v>
      </c>
      <c r="P7" s="1197"/>
      <c r="Q7" s="1208">
        <f>'NEW SHOES'!P8</f>
        <v>0</v>
      </c>
      <c r="R7" s="1149"/>
      <c r="S7" s="1149"/>
      <c r="T7" s="1147" t="s">
        <v>31</v>
      </c>
      <c r="U7" s="1147"/>
      <c r="V7" s="1209">
        <f>'NEW SHOES'!U8</f>
        <v>0</v>
      </c>
      <c r="W7" s="1210"/>
      <c r="X7" s="1211"/>
      <c r="Y7" s="226"/>
      <c r="Z7"/>
      <c r="AA7" s="5"/>
      <c r="AB7" s="418"/>
      <c r="AC7" s="34"/>
      <c r="AD7" s="722"/>
      <c r="AE7" s="723"/>
      <c r="AF7" s="725"/>
      <c r="AG7" s="687"/>
      <c r="AH7" s="687"/>
      <c r="AI7" s="5"/>
      <c r="AJ7" s="5"/>
      <c r="AK7" s="5"/>
      <c r="AL7" s="5"/>
      <c r="AM7" s="5"/>
      <c r="AN7" s="5"/>
      <c r="AO7" s="5"/>
      <c r="AP7" s="5"/>
      <c r="AQ7" s="5"/>
    </row>
    <row r="8" spans="1:43" s="1" customFormat="1" ht="16.5" thickBot="1" x14ac:dyDescent="0.3">
      <c r="A8" s="5"/>
      <c r="B8" s="5"/>
      <c r="C8" s="5"/>
      <c r="D8" s="27"/>
      <c r="E8" s="1143"/>
      <c r="F8" s="1143"/>
      <c r="G8" s="1125"/>
      <c r="H8" s="1125"/>
      <c r="I8" s="1125"/>
      <c r="J8" s="1125"/>
      <c r="K8" s="1125"/>
      <c r="L8" s="1125"/>
      <c r="M8" s="1125"/>
      <c r="N8" s="1125"/>
      <c r="O8" s="1125"/>
      <c r="P8"/>
      <c r="Q8" s="10"/>
      <c r="R8" s="10"/>
      <c r="S8" s="10"/>
      <c r="T8" s="10"/>
      <c r="U8" s="10"/>
      <c r="V8" s="10"/>
      <c r="W8" s="10"/>
      <c r="X8" s="10"/>
      <c r="Y8" s="10"/>
      <c r="Z8"/>
      <c r="AA8" s="5"/>
      <c r="AB8" s="5"/>
      <c r="AC8" s="5"/>
      <c r="AD8" s="51"/>
      <c r="AE8" s="5"/>
      <c r="AF8" s="5"/>
      <c r="AG8" s="127"/>
      <c r="AH8" s="5"/>
      <c r="AI8" s="5"/>
      <c r="AJ8" s="5"/>
      <c r="AK8" s="5"/>
      <c r="AL8" s="5"/>
      <c r="AM8" s="5"/>
      <c r="AN8" s="5"/>
      <c r="AO8" s="5"/>
      <c r="AP8" s="5"/>
      <c r="AQ8" s="5"/>
    </row>
    <row r="9" spans="1:43" s="1" customFormat="1" ht="16.5" customHeight="1" thickBot="1" x14ac:dyDescent="0.25">
      <c r="A9" s="1227" t="s">
        <v>196</v>
      </c>
      <c r="B9" s="1228"/>
      <c r="C9" s="1229"/>
      <c r="D9" s="1246"/>
      <c r="E9" s="1246"/>
      <c r="F9" s="1246"/>
      <c r="G9" s="1246"/>
      <c r="H9" s="1246"/>
      <c r="I9" s="1246"/>
      <c r="J9" s="1246"/>
      <c r="K9" s="1246"/>
      <c r="L9" s="1246"/>
      <c r="M9" s="1246"/>
      <c r="N9" s="1246"/>
      <c r="O9" s="1246"/>
      <c r="P9" s="1246"/>
      <c r="Q9" s="1246"/>
      <c r="R9" s="1246"/>
      <c r="S9" s="1246"/>
      <c r="T9" s="1246"/>
      <c r="U9" s="1246"/>
      <c r="V9" s="1246"/>
      <c r="W9" s="1246"/>
      <c r="X9" s="1246"/>
      <c r="Y9" s="1246"/>
      <c r="Z9" s="1194" t="s">
        <v>86</v>
      </c>
      <c r="AA9" s="1195"/>
      <c r="AB9" s="1204">
        <f>'NEW SHOES'!AG7</f>
        <v>0</v>
      </c>
      <c r="AC9" s="1158"/>
      <c r="AD9" s="5"/>
      <c r="AE9" s="5"/>
      <c r="AF9" s="128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</row>
    <row r="10" spans="1:43" s="1" customFormat="1" ht="21" customHeight="1" thickTop="1" thickBot="1" x14ac:dyDescent="0.25">
      <c r="A10" s="1230"/>
      <c r="B10" s="1231"/>
      <c r="C10" s="1232"/>
      <c r="D10" s="1212"/>
      <c r="E10" s="1213"/>
      <c r="F10" s="1213"/>
      <c r="G10" s="1213"/>
      <c r="H10" s="1213"/>
      <c r="I10" s="1213"/>
      <c r="J10" s="1213"/>
      <c r="K10" s="1213"/>
      <c r="L10" s="1213"/>
      <c r="M10" s="1213"/>
      <c r="N10" s="1213"/>
      <c r="O10" s="1213"/>
      <c r="P10" s="1213"/>
      <c r="Q10" s="1213"/>
      <c r="R10" s="1213"/>
      <c r="S10" s="1213"/>
      <c r="T10" s="1213"/>
      <c r="U10" s="1213"/>
      <c r="V10" s="1213"/>
      <c r="W10" s="1213"/>
      <c r="X10" s="1213"/>
      <c r="Y10" s="1213"/>
      <c r="Z10" s="1155" t="s">
        <v>87</v>
      </c>
      <c r="AA10" s="1205"/>
      <c r="AB10" s="1206">
        <f>'NEW SHOES'!AG9</f>
        <v>0</v>
      </c>
      <c r="AC10" s="1207"/>
      <c r="AD10" s="24"/>
      <c r="AE10" s="5"/>
      <c r="AF10" s="17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</row>
    <row r="11" spans="1:43" s="1" customFormat="1" ht="17.25" customHeight="1" thickBot="1" x14ac:dyDescent="0.25">
      <c r="A11" s="1233"/>
      <c r="B11" s="1234"/>
      <c r="C11" s="1235"/>
      <c r="D11" s="1214"/>
      <c r="E11" s="1214"/>
      <c r="F11" s="1214"/>
      <c r="G11" s="1214"/>
      <c r="H11" s="1214"/>
      <c r="I11" s="1214"/>
      <c r="J11" s="1214"/>
      <c r="K11" s="1214"/>
      <c r="L11" s="1214"/>
      <c r="M11" s="1214"/>
      <c r="N11" s="1214"/>
      <c r="O11" s="1214"/>
      <c r="P11" s="1214"/>
      <c r="Q11" s="1214"/>
      <c r="R11" s="1214"/>
      <c r="S11" s="1214"/>
      <c r="T11" s="1214"/>
      <c r="U11" s="1214"/>
      <c r="V11" s="1214"/>
      <c r="W11" s="1214"/>
      <c r="X11" s="1214"/>
      <c r="Y11" s="1215"/>
      <c r="Z11" s="5"/>
      <c r="AA11" s="1146"/>
      <c r="AB11" s="1146"/>
      <c r="AC11" s="68"/>
      <c r="AD11" s="162"/>
      <c r="AE11" s="5"/>
      <c r="AF11" s="17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</row>
    <row r="12" spans="1:43" s="1" customFormat="1" ht="15.75" customHeight="1" thickBot="1" x14ac:dyDescent="0.3">
      <c r="A12" s="1132" t="s">
        <v>88</v>
      </c>
      <c r="B12" s="1133"/>
      <c r="C12" s="1236"/>
      <c r="D12" s="1191"/>
      <c r="E12" s="1192"/>
      <c r="F12" s="1192"/>
      <c r="G12" s="1192"/>
      <c r="H12" s="1192"/>
      <c r="I12" s="1192"/>
      <c r="J12" s="1192"/>
      <c r="K12" s="1192"/>
      <c r="L12" s="1192"/>
      <c r="M12" s="1192"/>
      <c r="N12" s="1192"/>
      <c r="O12" s="1192"/>
      <c r="P12" s="1192"/>
      <c r="Q12" s="1192"/>
      <c r="R12" s="1192"/>
      <c r="S12" s="1192"/>
      <c r="T12" s="1192"/>
      <c r="U12" s="1192"/>
      <c r="V12" s="1192"/>
      <c r="W12" s="1192"/>
      <c r="X12" s="1192"/>
      <c r="Y12" s="1193"/>
      <c r="Z12" s="231"/>
      <c r="AA12" s="229"/>
      <c r="AB12" s="230"/>
      <c r="AC12" s="231"/>
      <c r="AD12" s="1237" t="s">
        <v>98</v>
      </c>
      <c r="AE12" s="5"/>
      <c r="AF12" s="17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</row>
    <row r="13" spans="1:43" s="148" customFormat="1" ht="16.5" thickBot="1" x14ac:dyDescent="0.3">
      <c r="A13" s="308" t="s">
        <v>99</v>
      </c>
      <c r="B13" s="235" t="s">
        <v>39</v>
      </c>
      <c r="C13" s="235"/>
      <c r="D13" s="235">
        <v>34</v>
      </c>
      <c r="E13" s="235">
        <v>35</v>
      </c>
      <c r="F13" s="235">
        <v>36</v>
      </c>
      <c r="G13" s="235">
        <v>37</v>
      </c>
      <c r="H13" s="235">
        <v>38</v>
      </c>
      <c r="I13" s="235">
        <v>39</v>
      </c>
      <c r="J13" s="235">
        <v>40</v>
      </c>
      <c r="K13" s="235">
        <v>41</v>
      </c>
      <c r="L13" s="235">
        <v>42</v>
      </c>
      <c r="M13" s="235">
        <v>43</v>
      </c>
      <c r="N13" s="235">
        <v>44</v>
      </c>
      <c r="O13" s="235">
        <v>45</v>
      </c>
      <c r="P13" s="235">
        <v>46</v>
      </c>
      <c r="Q13" s="235">
        <v>47</v>
      </c>
      <c r="R13" s="235">
        <v>48</v>
      </c>
      <c r="S13" s="235">
        <v>49</v>
      </c>
      <c r="T13" s="235">
        <v>50</v>
      </c>
      <c r="U13" s="236"/>
      <c r="V13" s="236"/>
      <c r="W13" s="236"/>
      <c r="X13" s="236"/>
      <c r="Y13" s="237"/>
      <c r="Z13" s="237"/>
      <c r="AA13" s="232" t="s">
        <v>90</v>
      </c>
      <c r="AB13" s="233" t="s">
        <v>63</v>
      </c>
      <c r="AC13" s="234" t="s">
        <v>91</v>
      </c>
      <c r="AD13" s="1238"/>
      <c r="AF13" s="149"/>
    </row>
    <row r="14" spans="1:43" s="39" customFormat="1" ht="15.75" x14ac:dyDescent="0.2">
      <c r="A14" s="605"/>
      <c r="B14" s="606"/>
      <c r="C14" s="427"/>
      <c r="D14" s="615"/>
      <c r="E14" s="615"/>
      <c r="F14" s="615"/>
      <c r="G14" s="615"/>
      <c r="H14" s="615"/>
      <c r="I14" s="615"/>
      <c r="J14" s="615"/>
      <c r="K14" s="615"/>
      <c r="L14" s="615"/>
      <c r="M14" s="615"/>
      <c r="N14" s="615"/>
      <c r="O14" s="615"/>
      <c r="P14" s="615"/>
      <c r="Q14" s="615"/>
      <c r="R14" s="615"/>
      <c r="S14" s="615"/>
      <c r="T14" s="615"/>
      <c r="U14" s="214"/>
      <c r="V14" s="214"/>
      <c r="W14" s="215"/>
      <c r="X14" s="215"/>
      <c r="Y14" s="215"/>
      <c r="Z14" s="215"/>
      <c r="AA14" s="166">
        <f>SUM(D14:Z14)</f>
        <v>0</v>
      </c>
      <c r="AB14" s="611"/>
      <c r="AC14" s="167">
        <f t="shared" ref="AC14:AC56" si="0">AA14*AB14</f>
        <v>0</v>
      </c>
      <c r="AD14" s="620"/>
      <c r="AE14" s="515" t="s">
        <v>208</v>
      </c>
      <c r="AF14" s="515">
        <v>3259</v>
      </c>
    </row>
    <row r="15" spans="1:43" s="39" customFormat="1" ht="15" x14ac:dyDescent="0.2">
      <c r="A15" s="607"/>
      <c r="B15" s="608"/>
      <c r="C15" s="428"/>
      <c r="D15" s="616"/>
      <c r="E15" s="616"/>
      <c r="F15" s="616"/>
      <c r="G15" s="616"/>
      <c r="H15" s="616"/>
      <c r="I15" s="616"/>
      <c r="J15" s="616"/>
      <c r="K15" s="616"/>
      <c r="L15" s="616"/>
      <c r="M15" s="616"/>
      <c r="N15" s="616"/>
      <c r="O15" s="616"/>
      <c r="P15" s="616"/>
      <c r="Q15" s="616"/>
      <c r="R15" s="616"/>
      <c r="S15" s="616"/>
      <c r="T15" s="616"/>
      <c r="U15" s="212"/>
      <c r="V15" s="212"/>
      <c r="W15" s="213"/>
      <c r="X15" s="213"/>
      <c r="Y15" s="213"/>
      <c r="Z15" s="213"/>
      <c r="AA15" s="150">
        <f t="shared" ref="AA15:AA56" si="1">SUM(D15:Z15)</f>
        <v>0</v>
      </c>
      <c r="AB15" s="612"/>
      <c r="AC15" s="151">
        <f t="shared" si="0"/>
        <v>0</v>
      </c>
      <c r="AD15" s="621"/>
      <c r="AE15" s="515" t="s">
        <v>208</v>
      </c>
      <c r="AF15" s="515">
        <v>3287</v>
      </c>
    </row>
    <row r="16" spans="1:43" s="39" customFormat="1" ht="15" x14ac:dyDescent="0.2">
      <c r="A16" s="609"/>
      <c r="B16" s="610"/>
      <c r="C16" s="429"/>
      <c r="D16" s="618"/>
      <c r="E16" s="618"/>
      <c r="F16" s="618"/>
      <c r="G16" s="618"/>
      <c r="H16" s="618"/>
      <c r="I16" s="618"/>
      <c r="J16" s="618"/>
      <c r="K16" s="618"/>
      <c r="L16" s="618"/>
      <c r="M16" s="618"/>
      <c r="N16" s="618"/>
      <c r="O16" s="618"/>
      <c r="P16" s="618"/>
      <c r="Q16" s="618"/>
      <c r="R16" s="618"/>
      <c r="S16" s="618"/>
      <c r="T16" s="618"/>
      <c r="U16" s="210"/>
      <c r="V16" s="210"/>
      <c r="W16" s="211"/>
      <c r="X16" s="211"/>
      <c r="Y16" s="211"/>
      <c r="Z16" s="211"/>
      <c r="AA16" s="163">
        <f t="shared" si="1"/>
        <v>0</v>
      </c>
      <c r="AB16" s="613"/>
      <c r="AC16" s="164">
        <f t="shared" si="0"/>
        <v>0</v>
      </c>
      <c r="AD16" s="622"/>
      <c r="AE16" s="515" t="s">
        <v>208</v>
      </c>
      <c r="AF16" s="515">
        <v>3295</v>
      </c>
    </row>
    <row r="17" spans="1:50" s="39" customFormat="1" ht="15" x14ac:dyDescent="0.2">
      <c r="A17" s="607"/>
      <c r="B17" s="608"/>
      <c r="C17" s="428"/>
      <c r="D17" s="616"/>
      <c r="E17" s="616"/>
      <c r="F17" s="616"/>
      <c r="G17" s="616"/>
      <c r="H17" s="616"/>
      <c r="I17" s="616"/>
      <c r="J17" s="616"/>
      <c r="K17" s="616"/>
      <c r="L17" s="616"/>
      <c r="M17" s="616"/>
      <c r="N17" s="616"/>
      <c r="O17" s="616"/>
      <c r="P17" s="616"/>
      <c r="Q17" s="616"/>
      <c r="R17" s="616"/>
      <c r="S17" s="616"/>
      <c r="T17" s="616"/>
      <c r="U17" s="212"/>
      <c r="V17" s="212"/>
      <c r="W17" s="213"/>
      <c r="X17" s="213"/>
      <c r="Y17" s="213"/>
      <c r="Z17" s="213"/>
      <c r="AA17" s="150">
        <f t="shared" si="1"/>
        <v>0</v>
      </c>
      <c r="AB17" s="612"/>
      <c r="AC17" s="151">
        <f t="shared" si="0"/>
        <v>0</v>
      </c>
      <c r="AD17" s="621"/>
      <c r="AE17" s="515" t="s">
        <v>208</v>
      </c>
      <c r="AF17" s="515">
        <v>3297</v>
      </c>
    </row>
    <row r="18" spans="1:50" s="39" customFormat="1" ht="15" x14ac:dyDescent="0.2">
      <c r="A18" s="609"/>
      <c r="B18" s="610"/>
      <c r="C18" s="429"/>
      <c r="D18" s="618"/>
      <c r="E18" s="618"/>
      <c r="F18" s="618"/>
      <c r="G18" s="618"/>
      <c r="H18" s="618"/>
      <c r="I18" s="618"/>
      <c r="J18" s="618"/>
      <c r="K18" s="618"/>
      <c r="L18" s="618"/>
      <c r="M18" s="618"/>
      <c r="N18" s="618"/>
      <c r="O18" s="618"/>
      <c r="P18" s="618"/>
      <c r="Q18" s="618"/>
      <c r="R18" s="618"/>
      <c r="S18" s="618"/>
      <c r="T18" s="618"/>
      <c r="U18" s="210"/>
      <c r="V18" s="210"/>
      <c r="W18" s="211"/>
      <c r="X18" s="211"/>
      <c r="Y18" s="211"/>
      <c r="Z18" s="211"/>
      <c r="AA18" s="163">
        <f t="shared" si="1"/>
        <v>0</v>
      </c>
      <c r="AB18" s="613"/>
      <c r="AC18" s="164">
        <f t="shared" si="0"/>
        <v>0</v>
      </c>
      <c r="AD18" s="622"/>
      <c r="AE18" s="515" t="s">
        <v>208</v>
      </c>
      <c r="AF18" s="515">
        <v>5540</v>
      </c>
    </row>
    <row r="19" spans="1:50" s="39" customFormat="1" ht="15" x14ac:dyDescent="0.2">
      <c r="A19" s="607"/>
      <c r="B19" s="608"/>
      <c r="C19" s="428"/>
      <c r="D19" s="616"/>
      <c r="E19" s="616"/>
      <c r="F19" s="616"/>
      <c r="G19" s="616"/>
      <c r="H19" s="616"/>
      <c r="I19" s="616"/>
      <c r="J19" s="616"/>
      <c r="K19" s="616"/>
      <c r="L19" s="616"/>
      <c r="M19" s="616"/>
      <c r="N19" s="616"/>
      <c r="O19" s="616"/>
      <c r="P19" s="616"/>
      <c r="Q19" s="616"/>
      <c r="R19" s="616"/>
      <c r="S19" s="616"/>
      <c r="T19" s="616"/>
      <c r="U19" s="212"/>
      <c r="V19" s="212"/>
      <c r="W19" s="213"/>
      <c r="X19" s="213"/>
      <c r="Y19" s="213"/>
      <c r="Z19" s="213"/>
      <c r="AA19" s="150">
        <f t="shared" si="1"/>
        <v>0</v>
      </c>
      <c r="AB19" s="612"/>
      <c r="AC19" s="151">
        <f t="shared" si="0"/>
        <v>0</v>
      </c>
      <c r="AD19" s="621"/>
      <c r="AE19" s="515" t="s">
        <v>208</v>
      </c>
      <c r="AF19" s="515">
        <v>5705</v>
      </c>
    </row>
    <row r="20" spans="1:50" s="39" customFormat="1" ht="15" x14ac:dyDescent="0.2">
      <c r="A20" s="609"/>
      <c r="B20" s="610"/>
      <c r="C20" s="429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  <c r="P20" s="618"/>
      <c r="Q20" s="618"/>
      <c r="R20" s="618"/>
      <c r="S20" s="618"/>
      <c r="T20" s="618"/>
      <c r="U20" s="210"/>
      <c r="V20" s="210"/>
      <c r="W20" s="211"/>
      <c r="X20" s="211"/>
      <c r="Y20" s="211"/>
      <c r="Z20" s="211"/>
      <c r="AA20" s="163">
        <f t="shared" si="1"/>
        <v>0</v>
      </c>
      <c r="AB20" s="613"/>
      <c r="AC20" s="164">
        <f t="shared" si="0"/>
        <v>0</v>
      </c>
      <c r="AD20" s="622"/>
      <c r="AE20" s="515" t="s">
        <v>208</v>
      </c>
      <c r="AF20" s="515">
        <v>5840</v>
      </c>
    </row>
    <row r="21" spans="1:50" s="39" customFormat="1" ht="15" x14ac:dyDescent="0.2">
      <c r="A21" s="607"/>
      <c r="B21" s="608"/>
      <c r="C21" s="428"/>
      <c r="D21" s="616"/>
      <c r="E21" s="616"/>
      <c r="F21" s="616"/>
      <c r="G21" s="616"/>
      <c r="H21" s="616"/>
      <c r="I21" s="616"/>
      <c r="J21" s="616"/>
      <c r="K21" s="616"/>
      <c r="L21" s="616"/>
      <c r="M21" s="616"/>
      <c r="N21" s="616"/>
      <c r="O21" s="616"/>
      <c r="P21" s="616"/>
      <c r="Q21" s="616"/>
      <c r="R21" s="616"/>
      <c r="S21" s="616"/>
      <c r="T21" s="616"/>
      <c r="U21" s="212"/>
      <c r="V21" s="212"/>
      <c r="W21" s="213"/>
      <c r="X21" s="213"/>
      <c r="Y21" s="213"/>
      <c r="Z21" s="213"/>
      <c r="AA21" s="150">
        <f t="shared" si="1"/>
        <v>0</v>
      </c>
      <c r="AB21" s="612"/>
      <c r="AC21" s="151">
        <f t="shared" si="0"/>
        <v>0</v>
      </c>
      <c r="AD21" s="621"/>
      <c r="AE21" s="515" t="s">
        <v>208</v>
      </c>
      <c r="AF21" s="515">
        <v>3241</v>
      </c>
    </row>
    <row r="22" spans="1:50" s="39" customFormat="1" ht="15" x14ac:dyDescent="0.2">
      <c r="A22" s="609"/>
      <c r="B22" s="610"/>
      <c r="C22" s="429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  <c r="P22" s="618"/>
      <c r="Q22" s="618"/>
      <c r="R22" s="618"/>
      <c r="S22" s="618"/>
      <c r="T22" s="618"/>
      <c r="U22" s="210"/>
      <c r="V22" s="210"/>
      <c r="W22" s="211"/>
      <c r="X22" s="211"/>
      <c r="Y22" s="211"/>
      <c r="Z22" s="211"/>
      <c r="AA22" s="163">
        <f t="shared" si="1"/>
        <v>0</v>
      </c>
      <c r="AB22" s="613"/>
      <c r="AC22" s="164">
        <f t="shared" si="0"/>
        <v>0</v>
      </c>
      <c r="AD22" s="622"/>
    </row>
    <row r="23" spans="1:50" s="39" customFormat="1" ht="15" x14ac:dyDescent="0.2">
      <c r="A23" s="607"/>
      <c r="B23" s="608"/>
      <c r="C23" s="428"/>
      <c r="D23" s="616"/>
      <c r="E23" s="616"/>
      <c r="F23" s="616"/>
      <c r="G23" s="616"/>
      <c r="H23" s="616"/>
      <c r="I23" s="616"/>
      <c r="J23" s="616"/>
      <c r="K23" s="616"/>
      <c r="L23" s="616"/>
      <c r="M23" s="616"/>
      <c r="N23" s="616"/>
      <c r="O23" s="616"/>
      <c r="P23" s="616"/>
      <c r="Q23" s="616"/>
      <c r="R23" s="616"/>
      <c r="S23" s="616"/>
      <c r="T23" s="616"/>
      <c r="U23" s="212"/>
      <c r="V23" s="212"/>
      <c r="W23" s="213"/>
      <c r="X23" s="213"/>
      <c r="Y23" s="213"/>
      <c r="Z23" s="213"/>
      <c r="AA23" s="150">
        <f t="shared" si="1"/>
        <v>0</v>
      </c>
      <c r="AB23" s="612"/>
      <c r="AC23" s="151">
        <f t="shared" si="0"/>
        <v>0</v>
      </c>
      <c r="AD23" s="152"/>
    </row>
    <row r="24" spans="1:50" s="39" customFormat="1" ht="15" x14ac:dyDescent="0.2">
      <c r="A24" s="609"/>
      <c r="B24" s="610"/>
      <c r="C24" s="429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  <c r="P24" s="618"/>
      <c r="Q24" s="618"/>
      <c r="R24" s="618"/>
      <c r="S24" s="618"/>
      <c r="T24" s="618"/>
      <c r="U24" s="210"/>
      <c r="V24" s="210"/>
      <c r="W24" s="211"/>
      <c r="X24" s="211"/>
      <c r="Y24" s="211"/>
      <c r="Z24" s="211"/>
      <c r="AA24" s="163">
        <f t="shared" si="1"/>
        <v>0</v>
      </c>
      <c r="AB24" s="613"/>
      <c r="AC24" s="164">
        <f t="shared" si="0"/>
        <v>0</v>
      </c>
      <c r="AD24" s="623"/>
    </row>
    <row r="25" spans="1:50" s="39" customFormat="1" ht="15" x14ac:dyDescent="0.2">
      <c r="A25" s="607"/>
      <c r="B25" s="608"/>
      <c r="C25" s="428"/>
      <c r="D25" s="616"/>
      <c r="E25" s="616"/>
      <c r="F25" s="616"/>
      <c r="G25" s="616"/>
      <c r="H25" s="616"/>
      <c r="I25" s="616"/>
      <c r="J25" s="616"/>
      <c r="K25" s="616"/>
      <c r="L25" s="616"/>
      <c r="M25" s="616"/>
      <c r="N25" s="616"/>
      <c r="O25" s="616"/>
      <c r="P25" s="616"/>
      <c r="Q25" s="616"/>
      <c r="R25" s="616"/>
      <c r="S25" s="616"/>
      <c r="T25" s="616"/>
      <c r="U25" s="212"/>
      <c r="V25" s="212"/>
      <c r="W25" s="213"/>
      <c r="X25" s="213"/>
      <c r="Y25" s="213"/>
      <c r="Z25" s="213"/>
      <c r="AA25" s="150">
        <f t="shared" si="1"/>
        <v>0</v>
      </c>
      <c r="AB25" s="612"/>
      <c r="AC25" s="151">
        <f t="shared" si="0"/>
        <v>0</v>
      </c>
      <c r="AD25" s="152"/>
    </row>
    <row r="26" spans="1:50" s="39" customFormat="1" ht="15" x14ac:dyDescent="0.2">
      <c r="A26" s="609"/>
      <c r="B26" s="610"/>
      <c r="C26" s="429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  <c r="P26" s="618"/>
      <c r="Q26" s="618"/>
      <c r="R26" s="618"/>
      <c r="S26" s="618"/>
      <c r="T26" s="618"/>
      <c r="U26" s="210"/>
      <c r="V26" s="210"/>
      <c r="W26" s="211"/>
      <c r="X26" s="211"/>
      <c r="Y26" s="211"/>
      <c r="Z26" s="211"/>
      <c r="AA26" s="163">
        <f t="shared" si="1"/>
        <v>0</v>
      </c>
      <c r="AB26" s="613"/>
      <c r="AC26" s="164">
        <f t="shared" si="0"/>
        <v>0</v>
      </c>
      <c r="AD26" s="623"/>
    </row>
    <row r="27" spans="1:50" s="39" customFormat="1" ht="15" x14ac:dyDescent="0.2">
      <c r="A27" s="607"/>
      <c r="B27" s="608"/>
      <c r="C27" s="428"/>
      <c r="D27" s="616"/>
      <c r="E27" s="616"/>
      <c r="F27" s="616"/>
      <c r="G27" s="616"/>
      <c r="H27" s="616"/>
      <c r="I27" s="616"/>
      <c r="J27" s="616"/>
      <c r="K27" s="616"/>
      <c r="L27" s="616"/>
      <c r="M27" s="616"/>
      <c r="N27" s="616"/>
      <c r="O27" s="616"/>
      <c r="P27" s="616"/>
      <c r="Q27" s="616"/>
      <c r="R27" s="616"/>
      <c r="S27" s="616"/>
      <c r="T27" s="616"/>
      <c r="U27" s="212"/>
      <c r="V27" s="212"/>
      <c r="W27" s="213"/>
      <c r="X27" s="213"/>
      <c r="Y27" s="213"/>
      <c r="Z27" s="213"/>
      <c r="AA27" s="150">
        <f t="shared" si="1"/>
        <v>0</v>
      </c>
      <c r="AB27" s="612"/>
      <c r="AC27" s="151">
        <f t="shared" si="0"/>
        <v>0</v>
      </c>
      <c r="AD27" s="152"/>
    </row>
    <row r="28" spans="1:50" s="39" customFormat="1" ht="15" x14ac:dyDescent="0.2">
      <c r="A28" s="609"/>
      <c r="B28" s="610"/>
      <c r="C28" s="429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  <c r="P28" s="618"/>
      <c r="Q28" s="618"/>
      <c r="R28" s="618"/>
      <c r="S28" s="618"/>
      <c r="T28" s="618"/>
      <c r="U28" s="210"/>
      <c r="V28" s="210"/>
      <c r="W28" s="211"/>
      <c r="X28" s="211"/>
      <c r="Y28" s="211"/>
      <c r="Z28" s="211"/>
      <c r="AA28" s="163">
        <f t="shared" si="1"/>
        <v>0</v>
      </c>
      <c r="AB28" s="613"/>
      <c r="AC28" s="164">
        <f t="shared" si="0"/>
        <v>0</v>
      </c>
      <c r="AD28" s="623"/>
    </row>
    <row r="29" spans="1:50" s="39" customFormat="1" ht="15.75" x14ac:dyDescent="0.2">
      <c r="A29" s="607"/>
      <c r="B29" s="608"/>
      <c r="C29" s="428"/>
      <c r="D29" s="616"/>
      <c r="E29" s="616"/>
      <c r="F29" s="616"/>
      <c r="G29" s="616"/>
      <c r="H29" s="616"/>
      <c r="I29" s="616"/>
      <c r="J29" s="616"/>
      <c r="K29" s="616"/>
      <c r="L29" s="616"/>
      <c r="M29" s="616"/>
      <c r="N29" s="616"/>
      <c r="O29" s="616"/>
      <c r="P29" s="616"/>
      <c r="Q29" s="616"/>
      <c r="R29" s="616"/>
      <c r="S29" s="616"/>
      <c r="T29" s="616"/>
      <c r="U29" s="212"/>
      <c r="V29" s="212"/>
      <c r="W29" s="213"/>
      <c r="X29" s="213"/>
      <c r="Y29" s="213"/>
      <c r="Z29" s="213"/>
      <c r="AA29" s="150">
        <f t="shared" si="1"/>
        <v>0</v>
      </c>
      <c r="AB29" s="612"/>
      <c r="AC29" s="151">
        <f t="shared" si="0"/>
        <v>0</v>
      </c>
      <c r="AD29" s="152"/>
      <c r="AL29" s="125"/>
    </row>
    <row r="30" spans="1:50" s="39" customFormat="1" ht="15.75" x14ac:dyDescent="0.2">
      <c r="A30" s="609"/>
      <c r="B30" s="610"/>
      <c r="C30" s="429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  <c r="P30" s="618"/>
      <c r="Q30" s="618"/>
      <c r="R30" s="618"/>
      <c r="S30" s="618"/>
      <c r="T30" s="618"/>
      <c r="U30" s="210"/>
      <c r="V30" s="210"/>
      <c r="W30" s="211"/>
      <c r="X30" s="211"/>
      <c r="Y30" s="211"/>
      <c r="Z30" s="211"/>
      <c r="AA30" s="163">
        <f t="shared" si="1"/>
        <v>0</v>
      </c>
      <c r="AB30" s="613"/>
      <c r="AC30" s="164">
        <f t="shared" si="0"/>
        <v>0</v>
      </c>
      <c r="AD30" s="623"/>
      <c r="AL30" s="125"/>
    </row>
    <row r="31" spans="1:50" s="39" customFormat="1" ht="15.75" x14ac:dyDescent="0.2">
      <c r="A31" s="607"/>
      <c r="B31" s="608"/>
      <c r="C31" s="428"/>
      <c r="D31" s="616"/>
      <c r="E31" s="616"/>
      <c r="F31" s="616"/>
      <c r="G31" s="616"/>
      <c r="H31" s="616"/>
      <c r="I31" s="616"/>
      <c r="J31" s="616"/>
      <c r="K31" s="616"/>
      <c r="L31" s="616"/>
      <c r="M31" s="616"/>
      <c r="N31" s="616"/>
      <c r="O31" s="616"/>
      <c r="P31" s="616"/>
      <c r="Q31" s="616"/>
      <c r="R31" s="616"/>
      <c r="S31" s="616"/>
      <c r="T31" s="616"/>
      <c r="U31" s="212"/>
      <c r="V31" s="212"/>
      <c r="W31" s="213"/>
      <c r="X31" s="213"/>
      <c r="Y31" s="213"/>
      <c r="Z31" s="213"/>
      <c r="AA31" s="150">
        <f t="shared" si="1"/>
        <v>0</v>
      </c>
      <c r="AB31" s="612"/>
      <c r="AC31" s="151">
        <f t="shared" si="0"/>
        <v>0</v>
      </c>
      <c r="AD31" s="152"/>
      <c r="AL31" s="125"/>
    </row>
    <row r="32" spans="1:50" s="39" customFormat="1" ht="15.75" x14ac:dyDescent="0.25">
      <c r="A32" s="609"/>
      <c r="B32" s="610"/>
      <c r="C32" s="429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  <c r="P32" s="618"/>
      <c r="Q32" s="618"/>
      <c r="R32" s="618"/>
      <c r="S32" s="618"/>
      <c r="T32" s="618"/>
      <c r="U32" s="210"/>
      <c r="V32" s="210"/>
      <c r="W32" s="211"/>
      <c r="X32" s="211"/>
      <c r="Y32" s="211"/>
      <c r="Z32" s="211"/>
      <c r="AA32" s="163">
        <f t="shared" si="1"/>
        <v>0</v>
      </c>
      <c r="AB32" s="613"/>
      <c r="AC32" s="164">
        <f t="shared" si="0"/>
        <v>0</v>
      </c>
      <c r="AD32" s="623"/>
      <c r="AL32" s="125"/>
      <c r="AM32" s="127"/>
      <c r="AN32" s="127"/>
      <c r="AO32" s="127"/>
      <c r="AP32" s="148"/>
      <c r="AQ32" s="148"/>
      <c r="AR32" s="148"/>
      <c r="AS32" s="148"/>
      <c r="AT32" s="148"/>
      <c r="AU32" s="148"/>
      <c r="AV32" s="148"/>
      <c r="AW32" s="148"/>
      <c r="AX32" s="148"/>
    </row>
    <row r="33" spans="1:40" s="39" customFormat="1" ht="15.75" x14ac:dyDescent="0.2">
      <c r="A33" s="607"/>
      <c r="B33" s="608"/>
      <c r="C33" s="428"/>
      <c r="D33" s="616"/>
      <c r="E33" s="616"/>
      <c r="F33" s="616"/>
      <c r="G33" s="616"/>
      <c r="H33" s="616"/>
      <c r="I33" s="616"/>
      <c r="J33" s="616"/>
      <c r="K33" s="616"/>
      <c r="L33" s="616"/>
      <c r="M33" s="616"/>
      <c r="N33" s="616"/>
      <c r="O33" s="616"/>
      <c r="P33" s="616"/>
      <c r="Q33" s="616"/>
      <c r="R33" s="616"/>
      <c r="S33" s="616"/>
      <c r="T33" s="616"/>
      <c r="U33" s="212"/>
      <c r="V33" s="212"/>
      <c r="W33" s="213"/>
      <c r="X33" s="213"/>
      <c r="Y33" s="213"/>
      <c r="Z33" s="213"/>
      <c r="AA33" s="150">
        <f t="shared" si="1"/>
        <v>0</v>
      </c>
      <c r="AB33" s="612"/>
      <c r="AC33" s="151">
        <f t="shared" si="0"/>
        <v>0</v>
      </c>
      <c r="AD33" s="152"/>
      <c r="AL33" s="153"/>
    </row>
    <row r="34" spans="1:40" s="39" customFormat="1" ht="15.75" x14ac:dyDescent="0.25">
      <c r="A34" s="609"/>
      <c r="B34" s="610"/>
      <c r="C34" s="429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  <c r="P34" s="618"/>
      <c r="Q34" s="618"/>
      <c r="R34" s="618"/>
      <c r="S34" s="618"/>
      <c r="T34" s="618"/>
      <c r="U34" s="210"/>
      <c r="V34" s="210"/>
      <c r="W34" s="211"/>
      <c r="X34" s="211"/>
      <c r="Y34" s="211"/>
      <c r="Z34" s="211"/>
      <c r="AA34" s="163">
        <f t="shared" si="1"/>
        <v>0</v>
      </c>
      <c r="AB34" s="613"/>
      <c r="AC34" s="164">
        <f t="shared" si="0"/>
        <v>0</v>
      </c>
      <c r="AD34" s="623"/>
      <c r="AN34" s="127"/>
    </row>
    <row r="35" spans="1:40" s="39" customFormat="1" ht="15.75" x14ac:dyDescent="0.2">
      <c r="A35" s="607"/>
      <c r="B35" s="608"/>
      <c r="C35" s="428"/>
      <c r="D35" s="616"/>
      <c r="E35" s="616"/>
      <c r="F35" s="616"/>
      <c r="G35" s="616"/>
      <c r="H35" s="616"/>
      <c r="I35" s="616"/>
      <c r="J35" s="616"/>
      <c r="K35" s="616"/>
      <c r="L35" s="616"/>
      <c r="M35" s="616"/>
      <c r="N35" s="616"/>
      <c r="O35" s="616"/>
      <c r="P35" s="616"/>
      <c r="Q35" s="616"/>
      <c r="R35" s="616"/>
      <c r="S35" s="616"/>
      <c r="T35" s="616"/>
      <c r="U35" s="212"/>
      <c r="V35" s="212"/>
      <c r="W35" s="213"/>
      <c r="X35" s="213"/>
      <c r="Y35" s="213"/>
      <c r="Z35" s="213"/>
      <c r="AA35" s="150">
        <f t="shared" si="1"/>
        <v>0</v>
      </c>
      <c r="AB35" s="612"/>
      <c r="AC35" s="151">
        <f t="shared" si="0"/>
        <v>0</v>
      </c>
      <c r="AD35" s="152"/>
      <c r="AM35" s="128" t="s">
        <v>21</v>
      </c>
    </row>
    <row r="36" spans="1:40" s="39" customFormat="1" ht="15" x14ac:dyDescent="0.2">
      <c r="A36" s="609"/>
      <c r="B36" s="610"/>
      <c r="C36" s="429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  <c r="P36" s="618"/>
      <c r="Q36" s="618"/>
      <c r="R36" s="618"/>
      <c r="S36" s="618"/>
      <c r="T36" s="618"/>
      <c r="U36" s="210"/>
      <c r="V36" s="210"/>
      <c r="W36" s="210"/>
      <c r="X36" s="210"/>
      <c r="Y36" s="210"/>
      <c r="Z36" s="210"/>
      <c r="AA36" s="163">
        <f t="shared" si="1"/>
        <v>0</v>
      </c>
      <c r="AB36" s="613"/>
      <c r="AC36" s="164">
        <f t="shared" si="0"/>
        <v>0</v>
      </c>
      <c r="AD36" s="623"/>
    </row>
    <row r="37" spans="1:40" s="39" customFormat="1" ht="15" x14ac:dyDescent="0.2">
      <c r="A37" s="607"/>
      <c r="B37" s="608"/>
      <c r="C37" s="428"/>
      <c r="D37" s="616"/>
      <c r="E37" s="616"/>
      <c r="F37" s="616"/>
      <c r="G37" s="616"/>
      <c r="H37" s="616"/>
      <c r="I37" s="616"/>
      <c r="J37" s="616"/>
      <c r="K37" s="616"/>
      <c r="L37" s="616"/>
      <c r="M37" s="616"/>
      <c r="N37" s="616"/>
      <c r="O37" s="616"/>
      <c r="P37" s="616"/>
      <c r="Q37" s="616"/>
      <c r="R37" s="616"/>
      <c r="S37" s="616"/>
      <c r="T37" s="616"/>
      <c r="U37" s="212"/>
      <c r="V37" s="212"/>
      <c r="W37" s="212"/>
      <c r="X37" s="212"/>
      <c r="Y37" s="212"/>
      <c r="Z37" s="212"/>
      <c r="AA37" s="150">
        <f t="shared" si="1"/>
        <v>0</v>
      </c>
      <c r="AB37" s="612"/>
      <c r="AC37" s="151">
        <f t="shared" si="0"/>
        <v>0</v>
      </c>
      <c r="AD37" s="152"/>
    </row>
    <row r="38" spans="1:40" s="39" customFormat="1" ht="15" x14ac:dyDescent="0.2">
      <c r="A38" s="609"/>
      <c r="B38" s="610"/>
      <c r="C38" s="429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  <c r="P38" s="618"/>
      <c r="Q38" s="618"/>
      <c r="R38" s="618"/>
      <c r="S38" s="618"/>
      <c r="T38" s="618"/>
      <c r="U38" s="210"/>
      <c r="V38" s="210"/>
      <c r="W38" s="210"/>
      <c r="X38" s="210"/>
      <c r="Y38" s="210"/>
      <c r="Z38" s="210"/>
      <c r="AA38" s="163">
        <f t="shared" si="1"/>
        <v>0</v>
      </c>
      <c r="AB38" s="613"/>
      <c r="AC38" s="164">
        <f t="shared" si="0"/>
        <v>0</v>
      </c>
      <c r="AD38" s="623"/>
    </row>
    <row r="39" spans="1:40" s="39" customFormat="1" ht="15" x14ac:dyDescent="0.2">
      <c r="A39" s="607"/>
      <c r="B39" s="608"/>
      <c r="C39" s="428"/>
      <c r="D39" s="616"/>
      <c r="E39" s="616"/>
      <c r="F39" s="616"/>
      <c r="G39" s="616"/>
      <c r="H39" s="616"/>
      <c r="I39" s="616"/>
      <c r="J39" s="616"/>
      <c r="K39" s="616"/>
      <c r="L39" s="616"/>
      <c r="M39" s="616"/>
      <c r="N39" s="616"/>
      <c r="O39" s="616"/>
      <c r="P39" s="616"/>
      <c r="Q39" s="616"/>
      <c r="R39" s="616"/>
      <c r="S39" s="616"/>
      <c r="T39" s="616"/>
      <c r="U39" s="212"/>
      <c r="V39" s="212"/>
      <c r="W39" s="212"/>
      <c r="X39" s="212"/>
      <c r="Y39" s="212"/>
      <c r="Z39" s="212"/>
      <c r="AA39" s="150">
        <f t="shared" si="1"/>
        <v>0</v>
      </c>
      <c r="AB39" s="612"/>
      <c r="AC39" s="151">
        <f t="shared" si="0"/>
        <v>0</v>
      </c>
      <c r="AD39" s="152"/>
    </row>
    <row r="40" spans="1:40" s="39" customFormat="1" ht="15" x14ac:dyDescent="0.2">
      <c r="A40" s="609"/>
      <c r="B40" s="610"/>
      <c r="C40" s="429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210"/>
      <c r="V40" s="210"/>
      <c r="W40" s="210"/>
      <c r="X40" s="210"/>
      <c r="Y40" s="210"/>
      <c r="Z40" s="210"/>
      <c r="AA40" s="163">
        <f t="shared" si="1"/>
        <v>0</v>
      </c>
      <c r="AB40" s="613"/>
      <c r="AC40" s="164">
        <f t="shared" si="0"/>
        <v>0</v>
      </c>
      <c r="AD40" s="623"/>
    </row>
    <row r="41" spans="1:40" s="39" customFormat="1" ht="15" x14ac:dyDescent="0.2">
      <c r="A41" s="607"/>
      <c r="B41" s="608"/>
      <c r="C41" s="428"/>
      <c r="D41" s="616"/>
      <c r="E41" s="616"/>
      <c r="F41" s="616"/>
      <c r="G41" s="616"/>
      <c r="H41" s="616"/>
      <c r="I41" s="616"/>
      <c r="J41" s="616"/>
      <c r="K41" s="616"/>
      <c r="L41" s="616"/>
      <c r="M41" s="616"/>
      <c r="N41" s="616"/>
      <c r="O41" s="616"/>
      <c r="P41" s="616"/>
      <c r="Q41" s="616"/>
      <c r="R41" s="616"/>
      <c r="S41" s="616"/>
      <c r="T41" s="616"/>
      <c r="U41" s="212"/>
      <c r="V41" s="212"/>
      <c r="W41" s="212"/>
      <c r="X41" s="212"/>
      <c r="Y41" s="212"/>
      <c r="Z41" s="212"/>
      <c r="AA41" s="150">
        <f t="shared" si="1"/>
        <v>0</v>
      </c>
      <c r="AB41" s="612"/>
      <c r="AC41" s="151">
        <f t="shared" si="0"/>
        <v>0</v>
      </c>
      <c r="AD41" s="152"/>
    </row>
    <row r="42" spans="1:40" s="39" customFormat="1" ht="15" x14ac:dyDescent="0.2">
      <c r="A42" s="609"/>
      <c r="B42" s="610"/>
      <c r="C42" s="429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  <c r="P42" s="618"/>
      <c r="Q42" s="618"/>
      <c r="R42" s="618"/>
      <c r="S42" s="618"/>
      <c r="T42" s="618"/>
      <c r="U42" s="210"/>
      <c r="V42" s="210"/>
      <c r="W42" s="210"/>
      <c r="X42" s="210"/>
      <c r="Y42" s="210"/>
      <c r="Z42" s="210"/>
      <c r="AA42" s="163">
        <f t="shared" si="1"/>
        <v>0</v>
      </c>
      <c r="AB42" s="613"/>
      <c r="AC42" s="164">
        <f t="shared" si="0"/>
        <v>0</v>
      </c>
      <c r="AD42" s="623"/>
    </row>
    <row r="43" spans="1:40" s="39" customFormat="1" ht="15" x14ac:dyDescent="0.2">
      <c r="A43" s="607"/>
      <c r="B43" s="608"/>
      <c r="C43" s="428"/>
      <c r="D43" s="616"/>
      <c r="E43" s="616"/>
      <c r="F43" s="616"/>
      <c r="G43" s="616"/>
      <c r="H43" s="616"/>
      <c r="I43" s="616"/>
      <c r="J43" s="616"/>
      <c r="K43" s="616"/>
      <c r="L43" s="616"/>
      <c r="M43" s="616"/>
      <c r="N43" s="616"/>
      <c r="O43" s="616"/>
      <c r="P43" s="616"/>
      <c r="Q43" s="616"/>
      <c r="R43" s="616"/>
      <c r="S43" s="616"/>
      <c r="T43" s="616"/>
      <c r="U43" s="212"/>
      <c r="V43" s="212"/>
      <c r="W43" s="212"/>
      <c r="X43" s="212"/>
      <c r="Y43" s="212"/>
      <c r="Z43" s="212"/>
      <c r="AA43" s="150">
        <f t="shared" si="1"/>
        <v>0</v>
      </c>
      <c r="AB43" s="612"/>
      <c r="AC43" s="151">
        <f t="shared" si="0"/>
        <v>0</v>
      </c>
      <c r="AD43" s="152"/>
    </row>
    <row r="44" spans="1:40" s="39" customFormat="1" ht="15" x14ac:dyDescent="0.2">
      <c r="A44" s="609"/>
      <c r="B44" s="610"/>
      <c r="C44" s="429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  <c r="P44" s="618"/>
      <c r="Q44" s="618"/>
      <c r="R44" s="618"/>
      <c r="S44" s="618"/>
      <c r="T44" s="618"/>
      <c r="U44" s="210"/>
      <c r="V44" s="210"/>
      <c r="W44" s="210"/>
      <c r="X44" s="210"/>
      <c r="Y44" s="210"/>
      <c r="Z44" s="210"/>
      <c r="AA44" s="163">
        <f t="shared" si="1"/>
        <v>0</v>
      </c>
      <c r="AB44" s="613"/>
      <c r="AC44" s="164">
        <f t="shared" si="0"/>
        <v>0</v>
      </c>
      <c r="AD44" s="623"/>
    </row>
    <row r="45" spans="1:40" s="39" customFormat="1" ht="15" x14ac:dyDescent="0.2">
      <c r="A45" s="607"/>
      <c r="B45" s="608"/>
      <c r="C45" s="428"/>
      <c r="D45" s="616"/>
      <c r="E45" s="616"/>
      <c r="F45" s="616"/>
      <c r="G45" s="616"/>
      <c r="H45" s="616"/>
      <c r="I45" s="616"/>
      <c r="J45" s="616"/>
      <c r="K45" s="616"/>
      <c r="L45" s="616"/>
      <c r="M45" s="616"/>
      <c r="N45" s="616"/>
      <c r="O45" s="616"/>
      <c r="P45" s="616"/>
      <c r="Q45" s="616"/>
      <c r="R45" s="616"/>
      <c r="S45" s="616"/>
      <c r="T45" s="616"/>
      <c r="U45" s="212"/>
      <c r="V45" s="212"/>
      <c r="W45" s="213"/>
      <c r="X45" s="213"/>
      <c r="Y45" s="213"/>
      <c r="Z45" s="213"/>
      <c r="AA45" s="150">
        <f t="shared" si="1"/>
        <v>0</v>
      </c>
      <c r="AB45" s="612"/>
      <c r="AC45" s="151">
        <f t="shared" si="0"/>
        <v>0</v>
      </c>
      <c r="AD45" s="152"/>
    </row>
    <row r="46" spans="1:40" s="39" customFormat="1" ht="15" x14ac:dyDescent="0.2">
      <c r="A46" s="609"/>
      <c r="B46" s="610"/>
      <c r="C46" s="429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  <c r="P46" s="618"/>
      <c r="Q46" s="618"/>
      <c r="R46" s="618"/>
      <c r="S46" s="618"/>
      <c r="T46" s="618"/>
      <c r="U46" s="210"/>
      <c r="V46" s="210"/>
      <c r="W46" s="210"/>
      <c r="X46" s="210"/>
      <c r="Y46" s="210"/>
      <c r="Z46" s="210"/>
      <c r="AA46" s="163">
        <f t="shared" si="1"/>
        <v>0</v>
      </c>
      <c r="AB46" s="613"/>
      <c r="AC46" s="164">
        <f t="shared" si="0"/>
        <v>0</v>
      </c>
      <c r="AD46" s="623"/>
    </row>
    <row r="47" spans="1:40" s="39" customFormat="1" ht="15" x14ac:dyDescent="0.2">
      <c r="A47" s="607"/>
      <c r="B47" s="608"/>
      <c r="C47" s="428"/>
      <c r="D47" s="616"/>
      <c r="E47" s="616"/>
      <c r="F47" s="616"/>
      <c r="G47" s="616"/>
      <c r="H47" s="616"/>
      <c r="I47" s="616"/>
      <c r="J47" s="616"/>
      <c r="K47" s="616"/>
      <c r="L47" s="616"/>
      <c r="M47" s="616"/>
      <c r="N47" s="616"/>
      <c r="O47" s="616"/>
      <c r="P47" s="616"/>
      <c r="Q47" s="616"/>
      <c r="R47" s="616"/>
      <c r="S47" s="616"/>
      <c r="T47" s="616"/>
      <c r="U47" s="212"/>
      <c r="V47" s="212"/>
      <c r="W47" s="212"/>
      <c r="X47" s="212"/>
      <c r="Y47" s="212"/>
      <c r="Z47" s="212"/>
      <c r="AA47" s="150">
        <f t="shared" si="1"/>
        <v>0</v>
      </c>
      <c r="AB47" s="612"/>
      <c r="AC47" s="151">
        <f t="shared" si="0"/>
        <v>0</v>
      </c>
      <c r="AD47" s="152"/>
    </row>
    <row r="48" spans="1:40" s="39" customFormat="1" ht="15" x14ac:dyDescent="0.2">
      <c r="A48" s="609"/>
      <c r="B48" s="610"/>
      <c r="C48" s="429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  <c r="P48" s="618"/>
      <c r="Q48" s="618"/>
      <c r="R48" s="618"/>
      <c r="S48" s="618"/>
      <c r="T48" s="618"/>
      <c r="U48" s="210"/>
      <c r="V48" s="210"/>
      <c r="W48" s="211"/>
      <c r="X48" s="211"/>
      <c r="Y48" s="211"/>
      <c r="Z48" s="211"/>
      <c r="AA48" s="163">
        <f t="shared" si="1"/>
        <v>0</v>
      </c>
      <c r="AB48" s="613"/>
      <c r="AC48" s="164">
        <f t="shared" si="0"/>
        <v>0</v>
      </c>
      <c r="AD48" s="623"/>
    </row>
    <row r="49" spans="1:32" s="39" customFormat="1" ht="15" x14ac:dyDescent="0.2">
      <c r="A49" s="607"/>
      <c r="B49" s="608"/>
      <c r="C49" s="428"/>
      <c r="D49" s="616"/>
      <c r="E49" s="616"/>
      <c r="F49" s="616"/>
      <c r="G49" s="616"/>
      <c r="H49" s="616"/>
      <c r="I49" s="616"/>
      <c r="J49" s="616"/>
      <c r="K49" s="616"/>
      <c r="L49" s="616"/>
      <c r="M49" s="616"/>
      <c r="N49" s="616"/>
      <c r="O49" s="616"/>
      <c r="P49" s="616"/>
      <c r="Q49" s="616"/>
      <c r="R49" s="616"/>
      <c r="S49" s="616"/>
      <c r="T49" s="616"/>
      <c r="U49" s="212"/>
      <c r="V49" s="212"/>
      <c r="W49" s="212"/>
      <c r="X49" s="212"/>
      <c r="Y49" s="212"/>
      <c r="Z49" s="212"/>
      <c r="AA49" s="150">
        <f t="shared" si="1"/>
        <v>0</v>
      </c>
      <c r="AB49" s="612"/>
      <c r="AC49" s="151">
        <f t="shared" si="0"/>
        <v>0</v>
      </c>
      <c r="AD49" s="152"/>
    </row>
    <row r="50" spans="1:32" s="39" customFormat="1" ht="15" x14ac:dyDescent="0.2">
      <c r="A50" s="609"/>
      <c r="B50" s="610"/>
      <c r="C50" s="429"/>
      <c r="D50" s="619"/>
      <c r="E50" s="619"/>
      <c r="F50" s="619"/>
      <c r="G50" s="619"/>
      <c r="H50" s="619"/>
      <c r="I50" s="619"/>
      <c r="J50" s="619"/>
      <c r="K50" s="619"/>
      <c r="L50" s="619"/>
      <c r="M50" s="619"/>
      <c r="N50" s="619"/>
      <c r="O50" s="619"/>
      <c r="P50" s="619"/>
      <c r="Q50" s="619"/>
      <c r="R50" s="619"/>
      <c r="S50" s="619"/>
      <c r="T50" s="619"/>
      <c r="U50" s="210"/>
      <c r="V50" s="210"/>
      <c r="W50" s="210"/>
      <c r="X50" s="210"/>
      <c r="Y50" s="210"/>
      <c r="Z50" s="210"/>
      <c r="AA50" s="163">
        <f t="shared" si="1"/>
        <v>0</v>
      </c>
      <c r="AB50" s="613"/>
      <c r="AC50" s="164">
        <f t="shared" si="0"/>
        <v>0</v>
      </c>
      <c r="AD50" s="623"/>
    </row>
    <row r="51" spans="1:32" s="39" customFormat="1" ht="15" x14ac:dyDescent="0.2">
      <c r="A51" s="607"/>
      <c r="B51" s="608"/>
      <c r="C51" s="428"/>
      <c r="D51" s="617"/>
      <c r="E51" s="617"/>
      <c r="F51" s="617"/>
      <c r="G51" s="617"/>
      <c r="H51" s="617"/>
      <c r="I51" s="617"/>
      <c r="J51" s="617"/>
      <c r="K51" s="617"/>
      <c r="L51" s="617"/>
      <c r="M51" s="617"/>
      <c r="N51" s="617"/>
      <c r="O51" s="617"/>
      <c r="P51" s="617"/>
      <c r="Q51" s="617"/>
      <c r="R51" s="617"/>
      <c r="S51" s="617"/>
      <c r="T51" s="617"/>
      <c r="U51" s="212"/>
      <c r="V51" s="212"/>
      <c r="W51" s="212"/>
      <c r="X51" s="212"/>
      <c r="Y51" s="212"/>
      <c r="Z51" s="212"/>
      <c r="AA51" s="150">
        <f t="shared" si="1"/>
        <v>0</v>
      </c>
      <c r="AB51" s="612"/>
      <c r="AC51" s="151">
        <f t="shared" si="0"/>
        <v>0</v>
      </c>
      <c r="AD51" s="152"/>
    </row>
    <row r="52" spans="1:32" s="39" customFormat="1" ht="15" x14ac:dyDescent="0.2">
      <c r="A52" s="609"/>
      <c r="B52" s="610"/>
      <c r="C52" s="429"/>
      <c r="D52" s="619"/>
      <c r="E52" s="619"/>
      <c r="F52" s="619"/>
      <c r="G52" s="619"/>
      <c r="H52" s="619"/>
      <c r="I52" s="619"/>
      <c r="J52" s="619"/>
      <c r="K52" s="619"/>
      <c r="L52" s="619"/>
      <c r="M52" s="619"/>
      <c r="N52" s="619"/>
      <c r="O52" s="619"/>
      <c r="P52" s="619"/>
      <c r="Q52" s="619"/>
      <c r="R52" s="619"/>
      <c r="S52" s="619"/>
      <c r="T52" s="619"/>
      <c r="U52" s="210"/>
      <c r="V52" s="210"/>
      <c r="W52" s="210"/>
      <c r="X52" s="210"/>
      <c r="Y52" s="210"/>
      <c r="Z52" s="210"/>
      <c r="AA52" s="163">
        <f t="shared" si="1"/>
        <v>0</v>
      </c>
      <c r="AB52" s="613"/>
      <c r="AC52" s="164">
        <f t="shared" si="0"/>
        <v>0</v>
      </c>
      <c r="AD52" s="623"/>
    </row>
    <row r="53" spans="1:32" s="39" customFormat="1" ht="15" x14ac:dyDescent="0.2">
      <c r="A53" s="607"/>
      <c r="B53" s="608"/>
      <c r="C53" s="428"/>
      <c r="D53" s="617"/>
      <c r="E53" s="617"/>
      <c r="F53" s="617"/>
      <c r="G53" s="617"/>
      <c r="H53" s="617"/>
      <c r="I53" s="617"/>
      <c r="J53" s="617"/>
      <c r="K53" s="617"/>
      <c r="L53" s="617"/>
      <c r="M53" s="617"/>
      <c r="N53" s="617"/>
      <c r="O53" s="617"/>
      <c r="P53" s="617"/>
      <c r="Q53" s="617"/>
      <c r="R53" s="617"/>
      <c r="S53" s="617"/>
      <c r="T53" s="617"/>
      <c r="U53" s="212"/>
      <c r="V53" s="212"/>
      <c r="W53" s="212"/>
      <c r="X53" s="212"/>
      <c r="Y53" s="212"/>
      <c r="Z53" s="212"/>
      <c r="AA53" s="150">
        <f t="shared" si="1"/>
        <v>0</v>
      </c>
      <c r="AB53" s="612"/>
      <c r="AC53" s="151">
        <f t="shared" si="0"/>
        <v>0</v>
      </c>
      <c r="AD53" s="152"/>
    </row>
    <row r="54" spans="1:32" s="39" customFormat="1" ht="15" x14ac:dyDescent="0.2">
      <c r="A54" s="609"/>
      <c r="B54" s="610"/>
      <c r="C54" s="429"/>
      <c r="D54" s="619"/>
      <c r="E54" s="619"/>
      <c r="F54" s="619"/>
      <c r="G54" s="619"/>
      <c r="H54" s="619"/>
      <c r="I54" s="619"/>
      <c r="J54" s="619"/>
      <c r="K54" s="619"/>
      <c r="L54" s="619"/>
      <c r="M54" s="619"/>
      <c r="N54" s="619"/>
      <c r="O54" s="619"/>
      <c r="P54" s="619"/>
      <c r="Q54" s="619"/>
      <c r="R54" s="619"/>
      <c r="S54" s="619"/>
      <c r="T54" s="619"/>
      <c r="U54" s="210"/>
      <c r="V54" s="210"/>
      <c r="W54" s="210"/>
      <c r="X54" s="210"/>
      <c r="Y54" s="210"/>
      <c r="Z54" s="210"/>
      <c r="AA54" s="163">
        <f t="shared" si="1"/>
        <v>0</v>
      </c>
      <c r="AB54" s="613"/>
      <c r="AC54" s="164">
        <f t="shared" si="0"/>
        <v>0</v>
      </c>
      <c r="AD54" s="623"/>
    </row>
    <row r="55" spans="1:32" s="39" customFormat="1" ht="15" x14ac:dyDescent="0.2">
      <c r="A55" s="607"/>
      <c r="B55" s="608"/>
      <c r="C55" s="428"/>
      <c r="D55" s="617"/>
      <c r="E55" s="617"/>
      <c r="F55" s="617"/>
      <c r="G55" s="617"/>
      <c r="H55" s="617"/>
      <c r="I55" s="617"/>
      <c r="J55" s="617"/>
      <c r="K55" s="617"/>
      <c r="L55" s="617"/>
      <c r="M55" s="617"/>
      <c r="N55" s="617"/>
      <c r="O55" s="617"/>
      <c r="P55" s="617"/>
      <c r="Q55" s="617"/>
      <c r="R55" s="617"/>
      <c r="S55" s="617"/>
      <c r="T55" s="617"/>
      <c r="U55" s="212"/>
      <c r="V55" s="212"/>
      <c r="W55" s="212"/>
      <c r="X55" s="212"/>
      <c r="Y55" s="212"/>
      <c r="Z55" s="212"/>
      <c r="AA55" s="150">
        <f t="shared" si="1"/>
        <v>0</v>
      </c>
      <c r="AB55" s="612"/>
      <c r="AC55" s="151">
        <f t="shared" si="0"/>
        <v>0</v>
      </c>
      <c r="AD55" s="152"/>
    </row>
    <row r="56" spans="1:32" s="39" customFormat="1" ht="15.75" x14ac:dyDescent="0.25">
      <c r="A56" s="609"/>
      <c r="B56" s="610"/>
      <c r="C56" s="429"/>
      <c r="D56" s="619"/>
      <c r="E56" s="619"/>
      <c r="F56" s="619"/>
      <c r="G56" s="619"/>
      <c r="H56" s="619"/>
      <c r="I56" s="619"/>
      <c r="J56" s="619"/>
      <c r="K56" s="619"/>
      <c r="L56" s="619"/>
      <c r="M56" s="619"/>
      <c r="N56" s="619"/>
      <c r="O56" s="619"/>
      <c r="P56" s="619"/>
      <c r="Q56" s="619"/>
      <c r="R56" s="619"/>
      <c r="S56" s="619"/>
      <c r="T56" s="619"/>
      <c r="U56" s="210"/>
      <c r="V56" s="210"/>
      <c r="W56" s="210"/>
      <c r="X56" s="210"/>
      <c r="Y56" s="210"/>
      <c r="Z56" s="210"/>
      <c r="AA56" s="163">
        <f t="shared" si="1"/>
        <v>0</v>
      </c>
      <c r="AB56" s="613"/>
      <c r="AC56" s="164">
        <f t="shared" si="0"/>
        <v>0</v>
      </c>
      <c r="AD56" s="623"/>
      <c r="AE56" s="148"/>
      <c r="AF56" s="148"/>
    </row>
    <row r="57" spans="1:32" s="148" customFormat="1" ht="15.75" x14ac:dyDescent="0.25">
      <c r="A57" s="154"/>
      <c r="B57" s="155" t="s">
        <v>94</v>
      </c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6">
        <f>SUM(AA14:AA56)</f>
        <v>0</v>
      </c>
      <c r="AB57" s="157"/>
      <c r="AC57" s="158">
        <f>SUM(AC14:AC56)</f>
        <v>0</v>
      </c>
      <c r="AD57" s="624"/>
      <c r="AE57" s="3"/>
      <c r="AF57" s="3"/>
    </row>
    <row r="58" spans="1:32" s="3" customFormat="1" ht="14.25" x14ac:dyDescent="0.2">
      <c r="AA58" s="120"/>
      <c r="AD58" s="121"/>
    </row>
    <row r="59" spans="1:32" s="3" customFormat="1" ht="14.25" x14ac:dyDescent="0.2">
      <c r="AB59" s="120"/>
      <c r="AD59" s="121"/>
    </row>
    <row r="60" spans="1:32" s="3" customFormat="1" ht="14.25" x14ac:dyDescent="0.2">
      <c r="AB60" s="120"/>
      <c r="AD60" s="121"/>
    </row>
    <row r="61" spans="1:32" s="3" customFormat="1" ht="14.25" x14ac:dyDescent="0.2">
      <c r="AB61" s="120"/>
      <c r="AD61" s="121"/>
    </row>
    <row r="62" spans="1:32" s="3" customFormat="1" ht="14.25" x14ac:dyDescent="0.2">
      <c r="AB62" s="120"/>
      <c r="AD62" s="121"/>
    </row>
    <row r="63" spans="1:32" s="3" customFormat="1" ht="14.25" x14ac:dyDescent="0.2">
      <c r="AB63" s="120"/>
      <c r="AD63" s="121"/>
      <c r="AE63"/>
      <c r="AF63"/>
    </row>
  </sheetData>
  <sheetProtection algorithmName="SHA-512" hashValue="65Mt9GxHc0LYOVNLlDMsf8agkWxzX8TxuI+dQ8/FpRaj/aDkirJPdcpeZSHai3I1IvBx3ujcKe0gB5KLDLhtfA==" saltValue="8t1wBM8I7yHCn6bRdcpgxw==" spinCount="100000" sheet="1" objects="1" scenarios="1"/>
  <mergeCells count="39">
    <mergeCell ref="A9:C11"/>
    <mergeCell ref="A12:C12"/>
    <mergeCell ref="AD12:AD13"/>
    <mergeCell ref="Q5:Y5"/>
    <mergeCell ref="B1:Y2"/>
    <mergeCell ref="Q3:Y3"/>
    <mergeCell ref="Q4:Y4"/>
    <mergeCell ref="E7:L7"/>
    <mergeCell ref="E8:F8"/>
    <mergeCell ref="G8:O8"/>
    <mergeCell ref="D9:Y9"/>
    <mergeCell ref="B3:C3"/>
    <mergeCell ref="B4:C4"/>
    <mergeCell ref="B6:C6"/>
    <mergeCell ref="D3:H3"/>
    <mergeCell ref="N3:P3"/>
    <mergeCell ref="B5:C5"/>
    <mergeCell ref="AA6:AB6"/>
    <mergeCell ref="D5:H5"/>
    <mergeCell ref="D4:H4"/>
    <mergeCell ref="D6:H6"/>
    <mergeCell ref="O6:P6"/>
    <mergeCell ref="N5:P5"/>
    <mergeCell ref="N4:P4"/>
    <mergeCell ref="D12:Y12"/>
    <mergeCell ref="Z9:AA9"/>
    <mergeCell ref="O7:P7"/>
    <mergeCell ref="AB2:AC2"/>
    <mergeCell ref="AB3:AC4"/>
    <mergeCell ref="Q6:Y6"/>
    <mergeCell ref="AA11:AB11"/>
    <mergeCell ref="AB9:AC9"/>
    <mergeCell ref="Z10:AA10"/>
    <mergeCell ref="AB10:AC10"/>
    <mergeCell ref="Q7:S7"/>
    <mergeCell ref="T7:U7"/>
    <mergeCell ref="V7:X7"/>
    <mergeCell ref="D10:Y11"/>
    <mergeCell ref="AA5:AB5"/>
  </mergeCells>
  <dataValidations disablePrompts="1" count="1">
    <dataValidation type="list" allowBlank="1" showInputMessage="1" showErrorMessage="1" sqref="B14:B56" xr:uid="{C3DC64D3-6DD0-44B2-8C34-51DD3032D298}">
      <formula1>$AF$14:$AF$21</formula1>
    </dataValidation>
  </dataValidations>
  <pageMargins left="0.25" right="0.25" top="0.25" bottom="0.25" header="0.05" footer="0.3"/>
  <pageSetup scale="7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DZ27"/>
  <sheetViews>
    <sheetView showGridLines="0" zoomScaleNormal="100" workbookViewId="0">
      <pane ySplit="10" topLeftCell="A11" activePane="bottomLeft" state="frozen"/>
      <selection pane="bottomLeft" activeCell="N26" sqref="N26"/>
    </sheetView>
  </sheetViews>
  <sheetFormatPr defaultColWidth="8.85546875" defaultRowHeight="12.75" x14ac:dyDescent="0.2"/>
  <cols>
    <col min="1" max="1" width="23.7109375" style="41" bestFit="1" customWidth="1"/>
    <col min="2" max="2" width="11.5703125" style="11" customWidth="1"/>
    <col min="3" max="3" width="22.28515625" style="11" customWidth="1"/>
    <col min="4" max="4" width="7.28515625" style="12" customWidth="1"/>
    <col min="5" max="5" width="3.85546875" style="12" customWidth="1"/>
    <col min="6" max="6" width="7.7109375" style="13" bestFit="1" customWidth="1"/>
    <col min="7" max="7" width="9.85546875" style="13" customWidth="1"/>
    <col min="8" max="8" width="12.42578125" style="12" customWidth="1"/>
    <col min="9" max="9" width="7.7109375" style="12" customWidth="1"/>
    <col min="10" max="10" width="10" style="12" customWidth="1"/>
    <col min="11" max="11" width="10.85546875" style="57" customWidth="1"/>
    <col min="12" max="12" width="10.140625" bestFit="1" customWidth="1"/>
    <col min="13" max="13" width="7.85546875" style="41" bestFit="1" customWidth="1"/>
    <col min="14" max="14" width="9" style="41" bestFit="1" customWidth="1"/>
    <col min="15" max="15" width="14.140625" customWidth="1"/>
    <col min="16" max="16" width="25.42578125" customWidth="1"/>
    <col min="17" max="17" width="11" customWidth="1"/>
  </cols>
  <sheetData>
    <row r="1" spans="1:130" s="5" customFormat="1" x14ac:dyDescent="0.2">
      <c r="A1" s="27"/>
      <c r="B1" s="1298" t="str">
        <f>'NEW SHOES'!E1</f>
        <v>FALL 2026 PROGRAM NEW SHOES</v>
      </c>
      <c r="C1" s="1299"/>
      <c r="D1" s="1299"/>
      <c r="E1" s="1299"/>
      <c r="F1" s="1299"/>
      <c r="G1" s="1299"/>
      <c r="H1" s="1299"/>
      <c r="I1" s="1299"/>
      <c r="J1" s="1299"/>
      <c r="K1" s="1299"/>
      <c r="L1" s="1299"/>
      <c r="M1" s="1299"/>
      <c r="N1" s="1300"/>
    </row>
    <row r="2" spans="1:130" s="5" customFormat="1" ht="15" customHeight="1" thickBot="1" x14ac:dyDescent="0.25">
      <c r="A2" s="27"/>
      <c r="B2" s="1301"/>
      <c r="C2" s="1302"/>
      <c r="D2" s="1302"/>
      <c r="E2" s="1302"/>
      <c r="F2" s="1302"/>
      <c r="G2" s="1302"/>
      <c r="H2" s="1302"/>
      <c r="I2" s="1302"/>
      <c r="J2" s="1302"/>
      <c r="K2" s="1302"/>
      <c r="L2" s="1302"/>
      <c r="M2" s="1302"/>
      <c r="N2" s="1303"/>
      <c r="P2" s="30"/>
      <c r="Q2" s="66"/>
      <c r="R2" s="31"/>
      <c r="S2" s="31"/>
      <c r="T2" s="4"/>
      <c r="U2" s="4"/>
      <c r="V2" s="4"/>
      <c r="W2" s="6"/>
    </row>
    <row r="3" spans="1:130" s="5" customFormat="1" ht="15" customHeight="1" thickBot="1" x14ac:dyDescent="0.25">
      <c r="A3" s="27"/>
      <c r="B3" s="1304"/>
      <c r="C3" s="1305"/>
      <c r="D3" s="1305"/>
      <c r="E3" s="1305"/>
      <c r="F3" s="1305"/>
      <c r="G3" s="1305"/>
      <c r="H3" s="1305"/>
      <c r="I3" s="1305"/>
      <c r="J3" s="1305"/>
      <c r="K3" s="1305"/>
      <c r="L3" s="1305"/>
      <c r="M3" s="1305"/>
      <c r="N3" s="1306"/>
      <c r="O3" s="2"/>
      <c r="P3" s="752" t="s">
        <v>100</v>
      </c>
      <c r="Q3" s="1290">
        <f>'CARE PRODUCTS &amp; MISC'!Q6+SOCKS!R6+FOOTBEDS!U6+BELTS!Q5+'GLOVES &amp; SCUFFS'!S6+'QUADREX &amp; SLIPPERS'!S6+'SAFETY GLASSES'!R6+'QR BELTS'!U6</f>
        <v>3171</v>
      </c>
      <c r="R3" s="1291"/>
      <c r="S3" s="31"/>
      <c r="V3" s="34"/>
      <c r="W3" s="6"/>
      <c r="X3" s="22"/>
    </row>
    <row r="4" spans="1:130" s="5" customFormat="1" ht="13.5" thickBot="1" x14ac:dyDescent="0.25">
      <c r="A4" s="27"/>
      <c r="B4" s="277" t="s">
        <v>5</v>
      </c>
      <c r="C4" s="289">
        <f>'NEW SHOES'!F4</f>
        <v>0</v>
      </c>
      <c r="D4" s="1309" t="s">
        <v>6</v>
      </c>
      <c r="E4" s="1153"/>
      <c r="F4" s="1154"/>
      <c r="G4" s="1201">
        <f>'NEW SHOES'!P4</f>
        <v>0</v>
      </c>
      <c r="H4" s="1202"/>
      <c r="I4" s="1202"/>
      <c r="J4" s="1202"/>
      <c r="K4" s="1203"/>
      <c r="L4" s="23"/>
      <c r="M4" s="67"/>
      <c r="N4" s="68"/>
      <c r="O4" s="2"/>
      <c r="P4" s="753" t="s">
        <v>226</v>
      </c>
      <c r="Q4" s="1312">
        <f>'CARE PRODUCTS &amp; MISC'!Q5+BELTS!Q4+'QR BELTS'!U5+SOCKS!R5+FOOTBEDS!U5+'GLOVES &amp; SCUFFS'!S5+'QUADREX &amp; SLIPPERS'!S5+'SAFETY GLASSES'!R5</f>
        <v>42</v>
      </c>
      <c r="R4" s="1313"/>
      <c r="S4" s="22"/>
    </row>
    <row r="5" spans="1:130" s="5" customFormat="1" ht="13.7" customHeight="1" thickBot="1" x14ac:dyDescent="0.25">
      <c r="A5" s="27"/>
      <c r="B5" s="277" t="s">
        <v>12</v>
      </c>
      <c r="C5" s="282">
        <f>'NEW SHOES'!F5</f>
        <v>0</v>
      </c>
      <c r="D5" s="1309" t="s">
        <v>13</v>
      </c>
      <c r="E5" s="1153"/>
      <c r="F5" s="1154"/>
      <c r="G5" s="1308">
        <f>'NEW SHOES'!P5</f>
        <v>0</v>
      </c>
      <c r="H5" s="1104"/>
      <c r="I5" s="1104"/>
      <c r="J5" s="1104"/>
      <c r="K5" s="1152"/>
      <c r="L5" s="254" t="str">
        <f>'NEW SHOES'!W4</f>
        <v>NO</v>
      </c>
      <c r="M5" s="1137" t="s">
        <v>74</v>
      </c>
      <c r="N5" s="1138"/>
      <c r="O5" s="2"/>
      <c r="P5" s="224" t="s">
        <v>101</v>
      </c>
      <c r="Q5" s="1292">
        <f>N27</f>
        <v>16</v>
      </c>
      <c r="R5" s="1293"/>
      <c r="S5" s="22"/>
    </row>
    <row r="6" spans="1:130" s="5" customFormat="1" ht="13.5" thickBot="1" x14ac:dyDescent="0.25">
      <c r="A6" s="27"/>
      <c r="B6" s="278" t="s">
        <v>18</v>
      </c>
      <c r="C6" s="283" t="str">
        <f>'NEW SHOES'!F6</f>
        <v xml:space="preserve">F26 A </v>
      </c>
      <c r="D6" s="1309" t="s">
        <v>19</v>
      </c>
      <c r="E6" s="1153"/>
      <c r="F6" s="1154"/>
      <c r="G6" s="1308">
        <f>'NEW SHOES'!P6</f>
        <v>0</v>
      </c>
      <c r="H6" s="1104"/>
      <c r="I6" s="1104"/>
      <c r="J6" s="1104"/>
      <c r="K6" s="1152"/>
      <c r="L6" s="2"/>
      <c r="M6" s="1199"/>
      <c r="N6" s="1200"/>
      <c r="O6" s="2"/>
      <c r="P6" s="225" t="s">
        <v>102</v>
      </c>
      <c r="Q6" s="1310">
        <f>O27</f>
        <v>1956</v>
      </c>
      <c r="R6" s="1311"/>
      <c r="S6" s="22"/>
    </row>
    <row r="7" spans="1:130" s="5" customFormat="1" ht="13.5" thickBot="1" x14ac:dyDescent="0.25">
      <c r="A7" s="559"/>
      <c r="B7" s="54"/>
      <c r="C7" s="54"/>
      <c r="D7" s="284"/>
      <c r="E7" s="1153" t="s">
        <v>24</v>
      </c>
      <c r="F7" s="1154"/>
      <c r="G7" s="1308">
        <f>'NEW SHOES'!P7</f>
        <v>0</v>
      </c>
      <c r="H7" s="1104"/>
      <c r="I7" s="1104"/>
      <c r="J7" s="1104"/>
      <c r="K7" s="1152"/>
      <c r="L7" s="15"/>
      <c r="M7" s="69"/>
      <c r="N7" s="69"/>
      <c r="P7" s="16" t="s">
        <v>103</v>
      </c>
      <c r="Q7" s="1296">
        <f>'NEW SHOES'!AG7</f>
        <v>0</v>
      </c>
      <c r="R7" s="1297"/>
      <c r="S7" s="22"/>
    </row>
    <row r="8" spans="1:130" s="5" customFormat="1" ht="12.75" customHeight="1" thickBot="1" x14ac:dyDescent="0.3">
      <c r="A8" s="461"/>
      <c r="B8" s="463"/>
      <c r="C8" s="463"/>
      <c r="D8" s="285"/>
      <c r="E8" s="1121" t="s">
        <v>30</v>
      </c>
      <c r="F8" s="1122"/>
      <c r="G8" s="286">
        <f>'NEW SHOES'!P8</f>
        <v>0</v>
      </c>
      <c r="H8" s="1196" t="s">
        <v>31</v>
      </c>
      <c r="I8" s="1196"/>
      <c r="J8" s="1307">
        <f>'NEW SHOES'!U8</f>
        <v>0</v>
      </c>
      <c r="K8" s="1181"/>
      <c r="L8" s="15"/>
      <c r="M8" s="69"/>
      <c r="N8" s="69"/>
      <c r="O8" s="15"/>
      <c r="P8" s="15"/>
      <c r="Q8" s="15"/>
      <c r="R8" s="15"/>
      <c r="S8" s="21"/>
    </row>
    <row r="9" spans="1:130" s="5" customFormat="1" ht="12.75" customHeight="1" thickBot="1" x14ac:dyDescent="0.3">
      <c r="A9" s="462"/>
      <c r="B9" s="148"/>
      <c r="C9" s="464"/>
      <c r="G9" s="45"/>
      <c r="H9" s="45"/>
      <c r="I9" s="45"/>
      <c r="J9" s="45"/>
      <c r="K9" s="287"/>
      <c r="M9" s="27"/>
      <c r="N9" s="27"/>
      <c r="O9" s="15"/>
      <c r="P9" s="288" t="s">
        <v>104</v>
      </c>
      <c r="Q9" s="1296">
        <f>'NEW SHOES'!AG9</f>
        <v>0</v>
      </c>
      <c r="R9" s="1297"/>
      <c r="S9" s="15"/>
      <c r="T9" s="15"/>
      <c r="U9" s="15"/>
      <c r="V9" s="33"/>
      <c r="W9" s="15"/>
      <c r="X9" s="26"/>
    </row>
    <row r="10" spans="1:130" s="112" customFormat="1" ht="15.75" thickBot="1" x14ac:dyDescent="0.3">
      <c r="A10" s="460"/>
      <c r="B10" s="408" t="s">
        <v>105</v>
      </c>
      <c r="C10" s="88" t="s">
        <v>106</v>
      </c>
      <c r="D10" s="1314" t="s">
        <v>107</v>
      </c>
      <c r="E10" s="1315"/>
      <c r="F10" s="1315"/>
      <c r="G10" s="1315"/>
      <c r="H10" s="1315"/>
      <c r="I10" s="1295"/>
      <c r="J10" s="1316"/>
      <c r="K10" s="409" t="s">
        <v>108</v>
      </c>
      <c r="L10" s="1294" t="s">
        <v>109</v>
      </c>
      <c r="M10" s="1295"/>
      <c r="N10" s="410" t="s">
        <v>110</v>
      </c>
      <c r="O10" s="737" t="s">
        <v>111</v>
      </c>
      <c r="P10" s="309" t="s">
        <v>112</v>
      </c>
      <c r="Q10" s="3"/>
      <c r="R10" s="3"/>
      <c r="S10" s="3"/>
      <c r="T10" s="191"/>
    </row>
    <row r="11" spans="1:130" s="112" customFormat="1" ht="15.75" thickBot="1" x14ac:dyDescent="0.3">
      <c r="A11" s="739" t="s">
        <v>252</v>
      </c>
      <c r="B11" s="974" t="s">
        <v>259</v>
      </c>
      <c r="C11" s="975">
        <v>98059</v>
      </c>
      <c r="D11" s="1275" t="s">
        <v>279</v>
      </c>
      <c r="E11" s="1276"/>
      <c r="F11" s="1276"/>
      <c r="G11" s="1276"/>
      <c r="H11" s="1276"/>
      <c r="I11" s="1276"/>
      <c r="J11" s="1277"/>
      <c r="K11" s="976">
        <v>60</v>
      </c>
      <c r="L11" s="1278" t="s">
        <v>256</v>
      </c>
      <c r="M11" s="1279"/>
      <c r="N11" s="977">
        <v>1</v>
      </c>
      <c r="O11" s="978">
        <f t="shared" ref="O11:O26" si="0">K11*N11</f>
        <v>60</v>
      </c>
      <c r="P11" s="979"/>
      <c r="Q11" s="306"/>
      <c r="R11" s="3"/>
      <c r="S11" s="3"/>
      <c r="T11" s="191"/>
    </row>
    <row r="12" spans="1:130" s="112" customFormat="1" ht="15" x14ac:dyDescent="0.25">
      <c r="A12" s="738"/>
      <c r="B12" s="980" t="s">
        <v>259</v>
      </c>
      <c r="C12" s="981">
        <v>98060</v>
      </c>
      <c r="D12" s="1280" t="s">
        <v>280</v>
      </c>
      <c r="E12" s="1281"/>
      <c r="F12" s="1281"/>
      <c r="G12" s="1281"/>
      <c r="H12" s="1281"/>
      <c r="I12" s="1281"/>
      <c r="J12" s="1282"/>
      <c r="K12" s="982">
        <v>60</v>
      </c>
      <c r="L12" s="1283" t="s">
        <v>256</v>
      </c>
      <c r="M12" s="1284"/>
      <c r="N12" s="983">
        <v>1</v>
      </c>
      <c r="O12" s="984">
        <f t="shared" si="0"/>
        <v>60</v>
      </c>
      <c r="P12" s="985"/>
      <c r="Q12" s="306"/>
      <c r="R12" s="3"/>
      <c r="S12" s="3"/>
      <c r="T12" s="191"/>
    </row>
    <row r="13" spans="1:130" s="3" customFormat="1" ht="14.25" x14ac:dyDescent="0.2">
      <c r="A13" s="738"/>
      <c r="B13" s="986" t="s">
        <v>259</v>
      </c>
      <c r="C13" s="987">
        <v>98061</v>
      </c>
      <c r="D13" s="1266" t="s">
        <v>281</v>
      </c>
      <c r="E13" s="1267"/>
      <c r="F13" s="1267"/>
      <c r="G13" s="1267"/>
      <c r="H13" s="1267"/>
      <c r="I13" s="1267"/>
      <c r="J13" s="1268"/>
      <c r="K13" s="988">
        <v>60</v>
      </c>
      <c r="L13" s="1285" t="s">
        <v>256</v>
      </c>
      <c r="M13" s="1286"/>
      <c r="N13" s="989">
        <v>1</v>
      </c>
      <c r="O13" s="990">
        <f t="shared" si="0"/>
        <v>60</v>
      </c>
      <c r="P13" s="991"/>
      <c r="Q13" s="306"/>
      <c r="DY13" s="159"/>
      <c r="DZ13" s="159"/>
    </row>
    <row r="14" spans="1:130" s="3" customFormat="1" ht="14.25" x14ac:dyDescent="0.2">
      <c r="A14" s="738"/>
      <c r="B14" s="992" t="s">
        <v>259</v>
      </c>
      <c r="C14" s="457">
        <v>98062</v>
      </c>
      <c r="D14" s="1262" t="s">
        <v>282</v>
      </c>
      <c r="E14" s="1263"/>
      <c r="F14" s="1263"/>
      <c r="G14" s="1263"/>
      <c r="H14" s="1263"/>
      <c r="I14" s="1263"/>
      <c r="J14" s="1264"/>
      <c r="K14" s="993">
        <v>60</v>
      </c>
      <c r="L14" s="1258" t="s">
        <v>256</v>
      </c>
      <c r="M14" s="1265"/>
      <c r="N14" s="994">
        <v>1</v>
      </c>
      <c r="O14" s="995">
        <f t="shared" si="0"/>
        <v>60</v>
      </c>
      <c r="P14" s="996"/>
      <c r="Q14" s="306"/>
      <c r="DY14" s="159"/>
      <c r="DZ14" s="159"/>
    </row>
    <row r="15" spans="1:130" s="3" customFormat="1" ht="14.25" x14ac:dyDescent="0.2">
      <c r="A15" s="738"/>
      <c r="B15" s="997" t="s">
        <v>259</v>
      </c>
      <c r="C15" s="474">
        <v>98063</v>
      </c>
      <c r="D15" s="1266" t="s">
        <v>283</v>
      </c>
      <c r="E15" s="1267"/>
      <c r="F15" s="1267"/>
      <c r="G15" s="1267"/>
      <c r="H15" s="1267"/>
      <c r="I15" s="1267"/>
      <c r="J15" s="1268"/>
      <c r="K15" s="998">
        <v>60</v>
      </c>
      <c r="L15" s="1255" t="s">
        <v>256</v>
      </c>
      <c r="M15" s="1269"/>
      <c r="N15" s="999">
        <v>1</v>
      </c>
      <c r="O15" s="1000">
        <f t="shared" si="0"/>
        <v>60</v>
      </c>
      <c r="P15" s="1001"/>
      <c r="Q15" s="306"/>
      <c r="DY15" s="159"/>
      <c r="DZ15" s="159"/>
    </row>
    <row r="16" spans="1:130" s="3" customFormat="1" ht="15" thickBot="1" x14ac:dyDescent="0.25">
      <c r="A16" s="738"/>
      <c r="B16" s="1002" t="s">
        <v>259</v>
      </c>
      <c r="C16" s="1003">
        <v>98064</v>
      </c>
      <c r="D16" s="1270" t="s">
        <v>284</v>
      </c>
      <c r="E16" s="1271"/>
      <c r="F16" s="1271"/>
      <c r="G16" s="1271"/>
      <c r="H16" s="1271"/>
      <c r="I16" s="1271"/>
      <c r="J16" s="1272"/>
      <c r="K16" s="1004">
        <v>60</v>
      </c>
      <c r="L16" s="1273" t="s">
        <v>256</v>
      </c>
      <c r="M16" s="1274"/>
      <c r="N16" s="1005">
        <v>1</v>
      </c>
      <c r="O16" s="1006">
        <f t="shared" si="0"/>
        <v>60</v>
      </c>
      <c r="P16" s="1007"/>
      <c r="Q16" s="306"/>
      <c r="DY16" s="159"/>
      <c r="DZ16" s="159"/>
    </row>
    <row r="17" spans="1:130" s="3" customFormat="1" ht="15.75" thickBot="1" x14ac:dyDescent="0.3">
      <c r="A17" s="773" t="s">
        <v>307</v>
      </c>
      <c r="B17" s="1008" t="s">
        <v>259</v>
      </c>
      <c r="C17" s="1009">
        <v>93023</v>
      </c>
      <c r="D17" s="1259" t="s">
        <v>308</v>
      </c>
      <c r="E17" s="1259"/>
      <c r="F17" s="1259"/>
      <c r="G17" s="1259"/>
      <c r="H17" s="1259"/>
      <c r="I17" s="1259"/>
      <c r="J17" s="1259"/>
      <c r="K17" s="1010">
        <v>108</v>
      </c>
      <c r="L17" s="1260" t="s">
        <v>309</v>
      </c>
      <c r="M17" s="1261"/>
      <c r="N17" s="1011">
        <v>1</v>
      </c>
      <c r="O17" s="1012">
        <f t="shared" si="0"/>
        <v>108</v>
      </c>
      <c r="P17" s="1013"/>
      <c r="Q17" s="306"/>
      <c r="DY17" s="159"/>
      <c r="DZ17" s="159"/>
    </row>
    <row r="18" spans="1:130" s="3" customFormat="1" ht="15" thickBot="1" x14ac:dyDescent="0.25">
      <c r="A18" s="1014"/>
      <c r="B18" s="454" t="s">
        <v>259</v>
      </c>
      <c r="C18" s="457">
        <v>93024</v>
      </c>
      <c r="D18" s="1256" t="s">
        <v>310</v>
      </c>
      <c r="E18" s="1256"/>
      <c r="F18" s="1256"/>
      <c r="G18" s="1256"/>
      <c r="H18" s="1256"/>
      <c r="I18" s="1256"/>
      <c r="J18" s="1256"/>
      <c r="K18" s="993">
        <v>108</v>
      </c>
      <c r="L18" s="1257" t="s">
        <v>309</v>
      </c>
      <c r="M18" s="1258"/>
      <c r="N18" s="994">
        <v>1</v>
      </c>
      <c r="O18" s="995">
        <f t="shared" si="0"/>
        <v>108</v>
      </c>
      <c r="P18" s="1015"/>
      <c r="Q18" s="306"/>
      <c r="DY18" s="159"/>
      <c r="DZ18" s="159"/>
    </row>
    <row r="19" spans="1:130" s="3" customFormat="1" ht="15.75" thickBot="1" x14ac:dyDescent="0.3">
      <c r="A19" s="1016" t="s">
        <v>285</v>
      </c>
      <c r="B19" s="1017" t="s">
        <v>259</v>
      </c>
      <c r="C19" s="1009">
        <v>96582</v>
      </c>
      <c r="D19" s="1259" t="s">
        <v>286</v>
      </c>
      <c r="E19" s="1259"/>
      <c r="F19" s="1259"/>
      <c r="G19" s="1259"/>
      <c r="H19" s="1259"/>
      <c r="I19" s="1259"/>
      <c r="J19" s="1259"/>
      <c r="K19" s="1010">
        <v>150</v>
      </c>
      <c r="L19" s="1260" t="s">
        <v>290</v>
      </c>
      <c r="M19" s="1261"/>
      <c r="N19" s="1011">
        <v>1</v>
      </c>
      <c r="O19" s="1012">
        <f t="shared" si="0"/>
        <v>150</v>
      </c>
      <c r="P19" s="1013"/>
      <c r="Q19" s="306"/>
      <c r="DY19" s="159"/>
      <c r="DZ19" s="159"/>
    </row>
    <row r="20" spans="1:130" s="3" customFormat="1" ht="14.25" x14ac:dyDescent="0.2">
      <c r="A20" s="1014"/>
      <c r="B20" s="454" t="s">
        <v>259</v>
      </c>
      <c r="C20" s="457">
        <v>96583</v>
      </c>
      <c r="D20" s="1256" t="s">
        <v>287</v>
      </c>
      <c r="E20" s="1256"/>
      <c r="F20" s="1256"/>
      <c r="G20" s="1256"/>
      <c r="H20" s="1256"/>
      <c r="I20" s="1256"/>
      <c r="J20" s="1256"/>
      <c r="K20" s="993">
        <v>150</v>
      </c>
      <c r="L20" s="1257" t="s">
        <v>290</v>
      </c>
      <c r="M20" s="1258"/>
      <c r="N20" s="994">
        <v>1</v>
      </c>
      <c r="O20" s="995">
        <f t="shared" si="0"/>
        <v>150</v>
      </c>
      <c r="P20" s="1015"/>
      <c r="Q20" s="306"/>
      <c r="DY20" s="159"/>
      <c r="DZ20" s="159"/>
    </row>
    <row r="21" spans="1:130" s="3" customFormat="1" ht="14.25" x14ac:dyDescent="0.2">
      <c r="A21" s="1014"/>
      <c r="B21" s="452" t="s">
        <v>259</v>
      </c>
      <c r="C21" s="474">
        <v>96587</v>
      </c>
      <c r="D21" s="1253" t="s">
        <v>288</v>
      </c>
      <c r="E21" s="1253"/>
      <c r="F21" s="1253"/>
      <c r="G21" s="1253"/>
      <c r="H21" s="1253"/>
      <c r="I21" s="1253"/>
      <c r="J21" s="1253"/>
      <c r="K21" s="998">
        <v>90</v>
      </c>
      <c r="L21" s="1254" t="s">
        <v>290</v>
      </c>
      <c r="M21" s="1255"/>
      <c r="N21" s="999">
        <v>1</v>
      </c>
      <c r="O21" s="1000">
        <f t="shared" si="0"/>
        <v>90</v>
      </c>
      <c r="P21" s="1018"/>
      <c r="Q21" s="306"/>
      <c r="DY21" s="159"/>
      <c r="DZ21" s="159"/>
    </row>
    <row r="22" spans="1:130" s="3" customFormat="1" ht="14.25" x14ac:dyDescent="0.2">
      <c r="A22" s="1014"/>
      <c r="B22" s="454" t="s">
        <v>259</v>
      </c>
      <c r="C22" s="457">
        <v>96588</v>
      </c>
      <c r="D22" s="1256" t="s">
        <v>289</v>
      </c>
      <c r="E22" s="1256"/>
      <c r="F22" s="1256"/>
      <c r="G22" s="1256"/>
      <c r="H22" s="1256"/>
      <c r="I22" s="1256"/>
      <c r="J22" s="1256"/>
      <c r="K22" s="993">
        <v>90</v>
      </c>
      <c r="L22" s="1257" t="s">
        <v>290</v>
      </c>
      <c r="M22" s="1258"/>
      <c r="N22" s="994">
        <v>1</v>
      </c>
      <c r="O22" s="995">
        <f t="shared" si="0"/>
        <v>90</v>
      </c>
      <c r="P22" s="1015"/>
      <c r="Q22" s="306"/>
      <c r="DY22" s="159"/>
      <c r="DZ22" s="159"/>
    </row>
    <row r="23" spans="1:130" s="3" customFormat="1" ht="14.25" x14ac:dyDescent="0.2">
      <c r="A23" s="1014"/>
      <c r="B23" s="452" t="s">
        <v>291</v>
      </c>
      <c r="C23" s="474">
        <v>95085</v>
      </c>
      <c r="D23" s="1253" t="s">
        <v>311</v>
      </c>
      <c r="E23" s="1253"/>
      <c r="F23" s="1253"/>
      <c r="G23" s="1253"/>
      <c r="H23" s="1253"/>
      <c r="I23" s="1253"/>
      <c r="J23" s="1253"/>
      <c r="K23" s="998">
        <v>390</v>
      </c>
      <c r="L23" s="1254" t="s">
        <v>256</v>
      </c>
      <c r="M23" s="1255"/>
      <c r="N23" s="999">
        <v>1</v>
      </c>
      <c r="O23" s="1000">
        <f t="shared" si="0"/>
        <v>390</v>
      </c>
      <c r="P23" s="1018"/>
      <c r="Q23" s="306"/>
      <c r="DY23" s="159"/>
      <c r="DZ23" s="159"/>
    </row>
    <row r="24" spans="1:130" s="3" customFormat="1" ht="15" thickBot="1" x14ac:dyDescent="0.25">
      <c r="A24" s="1014"/>
      <c r="B24" s="454" t="s">
        <v>291</v>
      </c>
      <c r="C24" s="457">
        <v>95086</v>
      </c>
      <c r="D24" s="1256" t="s">
        <v>312</v>
      </c>
      <c r="E24" s="1256"/>
      <c r="F24" s="1256"/>
      <c r="G24" s="1256"/>
      <c r="H24" s="1256"/>
      <c r="I24" s="1256"/>
      <c r="J24" s="1256"/>
      <c r="K24" s="993">
        <v>390</v>
      </c>
      <c r="L24" s="1257" t="s">
        <v>256</v>
      </c>
      <c r="M24" s="1258"/>
      <c r="N24" s="994">
        <v>1</v>
      </c>
      <c r="O24" s="995">
        <f t="shared" si="0"/>
        <v>390</v>
      </c>
      <c r="P24" s="1015"/>
      <c r="Q24" s="306"/>
      <c r="DY24" s="159"/>
      <c r="DZ24" s="159"/>
    </row>
    <row r="25" spans="1:130" s="3" customFormat="1" ht="15.75" thickBot="1" x14ac:dyDescent="0.3">
      <c r="A25" s="1016" t="s">
        <v>313</v>
      </c>
      <c r="B25" s="452" t="s">
        <v>259</v>
      </c>
      <c r="C25" s="474">
        <v>95076</v>
      </c>
      <c r="D25" s="1253" t="s">
        <v>314</v>
      </c>
      <c r="E25" s="1253"/>
      <c r="F25" s="1253"/>
      <c r="G25" s="1253"/>
      <c r="H25" s="1253"/>
      <c r="I25" s="1253"/>
      <c r="J25" s="1253"/>
      <c r="K25" s="998">
        <v>60</v>
      </c>
      <c r="L25" s="1254" t="s">
        <v>290</v>
      </c>
      <c r="M25" s="1255"/>
      <c r="N25" s="999">
        <v>1</v>
      </c>
      <c r="O25" s="1000">
        <f t="shared" si="0"/>
        <v>60</v>
      </c>
      <c r="P25" s="1018"/>
      <c r="Q25" s="306"/>
      <c r="DY25" s="159"/>
      <c r="DZ25" s="159"/>
    </row>
    <row r="26" spans="1:130" s="3" customFormat="1" ht="15" thickBot="1" x14ac:dyDescent="0.25">
      <c r="A26" s="1019"/>
      <c r="B26" s="1020" t="s">
        <v>259</v>
      </c>
      <c r="C26" s="1021">
        <v>95077</v>
      </c>
      <c r="D26" s="1250" t="s">
        <v>315</v>
      </c>
      <c r="E26" s="1250"/>
      <c r="F26" s="1250"/>
      <c r="G26" s="1250"/>
      <c r="H26" s="1250"/>
      <c r="I26" s="1250"/>
      <c r="J26" s="1250"/>
      <c r="K26" s="1022">
        <v>60</v>
      </c>
      <c r="L26" s="1251" t="s">
        <v>290</v>
      </c>
      <c r="M26" s="1252"/>
      <c r="N26" s="1023">
        <v>1</v>
      </c>
      <c r="O26" s="1024">
        <f t="shared" si="0"/>
        <v>60</v>
      </c>
      <c r="P26" s="1025"/>
      <c r="Q26" s="306"/>
      <c r="DY26" s="159"/>
      <c r="DZ26" s="159"/>
    </row>
    <row r="27" spans="1:130" ht="15.75" thickBot="1" x14ac:dyDescent="0.3">
      <c r="A27" s="758"/>
      <c r="B27" s="759"/>
      <c r="C27" s="1287"/>
      <c r="D27" s="1287"/>
      <c r="E27" s="1287"/>
      <c r="F27" s="1287"/>
      <c r="G27" s="1287"/>
      <c r="H27" s="1287"/>
      <c r="I27" s="1287"/>
      <c r="J27" s="1287"/>
      <c r="K27" s="760"/>
      <c r="L27" s="1288" t="s">
        <v>94</v>
      </c>
      <c r="M27" s="1289"/>
      <c r="N27" s="761">
        <f>SUM(N11:N26)</f>
        <v>16</v>
      </c>
      <c r="O27" s="1026">
        <f>SUM(O11:O26)</f>
        <v>1956</v>
      </c>
      <c r="P27" s="762"/>
      <c r="Q27" s="3"/>
      <c r="R27" s="3"/>
      <c r="S27" s="3"/>
      <c r="T27" s="3"/>
      <c r="U27" s="3"/>
      <c r="V27" s="3"/>
      <c r="X27" s="3"/>
      <c r="Y27" s="3"/>
      <c r="Z27" s="3"/>
      <c r="AA27" s="3"/>
    </row>
  </sheetData>
  <sheetProtection algorithmName="SHA-512" hashValue="BQY51ZwyEEIIaICzt1jUVMp8FGzBMGWIbJsNnpV8ugIl6XOIUm8dN2WXAv6mqJD7YFxfz4s2Sku8A4t0A/+SgA==" saltValue="KZj3Rgf4gD1DqTRN1R0uAQ==" spinCount="100000" sheet="1" selectLockedCells="1"/>
  <mergeCells count="56">
    <mergeCell ref="Q4:R4"/>
    <mergeCell ref="G4:K4"/>
    <mergeCell ref="E7:F7"/>
    <mergeCell ref="G5:K5"/>
    <mergeCell ref="D10:H10"/>
    <mergeCell ref="I10:J10"/>
    <mergeCell ref="D5:F5"/>
    <mergeCell ref="D6:F6"/>
    <mergeCell ref="C27:J27"/>
    <mergeCell ref="L27:M27"/>
    <mergeCell ref="Q3:R3"/>
    <mergeCell ref="Q5:R5"/>
    <mergeCell ref="L10:M10"/>
    <mergeCell ref="M5:N6"/>
    <mergeCell ref="Q7:R7"/>
    <mergeCell ref="Q9:R9"/>
    <mergeCell ref="B1:N3"/>
    <mergeCell ref="E8:F8"/>
    <mergeCell ref="J8:K8"/>
    <mergeCell ref="H8:I8"/>
    <mergeCell ref="G6:K6"/>
    <mergeCell ref="G7:K7"/>
    <mergeCell ref="D4:F4"/>
    <mergeCell ref="Q6:R6"/>
    <mergeCell ref="D11:J11"/>
    <mergeCell ref="L11:M11"/>
    <mergeCell ref="D12:J12"/>
    <mergeCell ref="L12:M12"/>
    <mergeCell ref="D13:J13"/>
    <mergeCell ref="L13:M13"/>
    <mergeCell ref="D14:J14"/>
    <mergeCell ref="L14:M14"/>
    <mergeCell ref="D15:J15"/>
    <mergeCell ref="L15:M15"/>
    <mergeCell ref="D16:J16"/>
    <mergeCell ref="L16:M16"/>
    <mergeCell ref="D17:J17"/>
    <mergeCell ref="L17:M17"/>
    <mergeCell ref="D18:J18"/>
    <mergeCell ref="L18:M18"/>
    <mergeCell ref="D19:J19"/>
    <mergeCell ref="L19:M19"/>
    <mergeCell ref="D20:J20"/>
    <mergeCell ref="L20:M20"/>
    <mergeCell ref="D21:J21"/>
    <mergeCell ref="L21:M21"/>
    <mergeCell ref="D22:J22"/>
    <mergeCell ref="L22:M22"/>
    <mergeCell ref="D26:J26"/>
    <mergeCell ref="L26:M26"/>
    <mergeCell ref="D23:J23"/>
    <mergeCell ref="L23:M23"/>
    <mergeCell ref="D24:J24"/>
    <mergeCell ref="L24:M24"/>
    <mergeCell ref="D25:J25"/>
    <mergeCell ref="L25:M25"/>
  </mergeCells>
  <phoneticPr fontId="75" type="noConversion"/>
  <pageMargins left="0" right="0" top="0.25" bottom="0.25" header="0.3" footer="0.3"/>
  <pageSetup scale="60" fitToWidth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U16"/>
  <sheetViews>
    <sheetView showGridLines="0" zoomScaleNormal="100" workbookViewId="0">
      <pane ySplit="11" topLeftCell="A12" activePane="bottomLeft" state="frozen"/>
      <selection pane="bottomLeft" activeCell="Y18" sqref="Y18"/>
    </sheetView>
  </sheetViews>
  <sheetFormatPr defaultRowHeight="12.75" x14ac:dyDescent="0.2"/>
  <cols>
    <col min="1" max="1" width="22" style="41" bestFit="1" customWidth="1"/>
    <col min="2" max="2" width="12.28515625" style="12" customWidth="1"/>
    <col min="4" max="4" width="52.42578125" customWidth="1"/>
    <col min="5" max="12" width="9.140625" bestFit="1" customWidth="1"/>
    <col min="13" max="13" width="10.85546875" customWidth="1"/>
    <col min="14" max="14" width="12.28515625" customWidth="1"/>
    <col min="15" max="15" width="9.140625" bestFit="1" customWidth="1"/>
    <col min="16" max="16" width="15.42578125" customWidth="1"/>
    <col min="17" max="17" width="23.42578125" bestFit="1" customWidth="1"/>
  </cols>
  <sheetData>
    <row r="1" spans="1:255" s="5" customFormat="1" x14ac:dyDescent="0.2">
      <c r="A1" s="1338" t="str">
        <f>'NEW SHOES'!E1</f>
        <v>FALL 2026 PROGRAM NEW SHOES</v>
      </c>
      <c r="B1" s="1339"/>
      <c r="C1" s="1339"/>
      <c r="D1" s="1339"/>
      <c r="E1" s="1339"/>
      <c r="F1" s="1339"/>
      <c r="G1" s="1339"/>
      <c r="H1" s="1339"/>
      <c r="I1" s="1339"/>
      <c r="J1" s="1339"/>
      <c r="K1" s="1339"/>
      <c r="L1" s="1339"/>
      <c r="M1" s="1339"/>
      <c r="N1" s="1339"/>
      <c r="O1" s="1339"/>
      <c r="P1" s="1339"/>
      <c r="Q1" s="1339"/>
      <c r="R1" s="1340"/>
    </row>
    <row r="2" spans="1:255" s="5" customFormat="1" ht="17.25" customHeight="1" x14ac:dyDescent="0.2">
      <c r="A2" s="1341"/>
      <c r="B2" s="1342"/>
      <c r="C2" s="1342"/>
      <c r="D2" s="1342"/>
      <c r="E2" s="1342"/>
      <c r="F2" s="1342"/>
      <c r="G2" s="1342"/>
      <c r="H2" s="1342"/>
      <c r="I2" s="1342"/>
      <c r="J2" s="1342"/>
      <c r="K2" s="1342"/>
      <c r="L2" s="1342"/>
      <c r="M2" s="1342"/>
      <c r="N2" s="1342"/>
      <c r="O2" s="1342"/>
      <c r="P2" s="1342"/>
      <c r="Q2" s="1342"/>
      <c r="R2" s="1343"/>
      <c r="T2" s="30"/>
      <c r="U2" s="31"/>
      <c r="V2" s="31"/>
      <c r="W2" s="31"/>
      <c r="X2" s="31"/>
      <c r="Y2" s="4"/>
      <c r="Z2" s="4"/>
      <c r="AA2" s="4"/>
      <c r="AB2" s="6"/>
    </row>
    <row r="3" spans="1:255" s="5" customFormat="1" ht="15" customHeight="1" thickBot="1" x14ac:dyDescent="0.25">
      <c r="A3" s="1344"/>
      <c r="B3" s="1345"/>
      <c r="C3" s="1345"/>
      <c r="D3" s="1345"/>
      <c r="E3" s="1345"/>
      <c r="F3" s="1345"/>
      <c r="G3" s="1345"/>
      <c r="H3" s="1345"/>
      <c r="I3" s="1345"/>
      <c r="J3" s="1345"/>
      <c r="K3" s="1345"/>
      <c r="L3" s="1345"/>
      <c r="M3" s="1345"/>
      <c r="N3" s="1345"/>
      <c r="O3" s="1345"/>
      <c r="P3" s="1345"/>
      <c r="Q3" s="1345"/>
      <c r="R3" s="1346"/>
      <c r="U3" s="34"/>
      <c r="V3" s="31"/>
      <c r="W3" s="31"/>
      <c r="X3" s="31"/>
      <c r="AA3" s="34"/>
      <c r="AB3" s="6"/>
      <c r="AC3" s="22"/>
    </row>
    <row r="4" spans="1:255" s="5" customFormat="1" ht="13.5" thickBot="1" x14ac:dyDescent="0.25">
      <c r="A4" s="27"/>
      <c r="B4" s="55" t="s">
        <v>5</v>
      </c>
      <c r="C4" s="1223">
        <f>'NEW SHOES'!F4</f>
        <v>0</v>
      </c>
      <c r="D4" s="1202"/>
      <c r="E4" s="1309" t="s">
        <v>6</v>
      </c>
      <c r="F4" s="1154"/>
      <c r="G4" s="1354">
        <f>'NEW SHOES'!P4</f>
        <v>0</v>
      </c>
      <c r="H4" s="1355"/>
      <c r="I4" s="1355"/>
      <c r="J4" s="1355"/>
      <c r="K4" s="1356"/>
      <c r="L4" s="45"/>
      <c r="M4" s="45"/>
      <c r="O4" s="23"/>
      <c r="Q4" s="290"/>
      <c r="R4" s="1347"/>
      <c r="S4" s="1348"/>
      <c r="V4" s="265"/>
      <c r="X4" s="22"/>
    </row>
    <row r="5" spans="1:255" s="5" customFormat="1" ht="13.5" thickBot="1" x14ac:dyDescent="0.25">
      <c r="A5" s="27"/>
      <c r="B5" s="55" t="s">
        <v>12</v>
      </c>
      <c r="C5" s="1353">
        <f>'NEW SHOES'!F5</f>
        <v>0</v>
      </c>
      <c r="D5" s="1104"/>
      <c r="E5" s="1309" t="s">
        <v>13</v>
      </c>
      <c r="F5" s="1154"/>
      <c r="G5" s="1335">
        <f>'NEW SHOES'!P5</f>
        <v>0</v>
      </c>
      <c r="H5" s="1336"/>
      <c r="I5" s="1336"/>
      <c r="J5" s="1336"/>
      <c r="K5" s="1337"/>
      <c r="L5" s="254" t="str">
        <f>'NEW SHOES'!W4</f>
        <v>NO</v>
      </c>
      <c r="M5" s="1137" t="s">
        <v>74</v>
      </c>
      <c r="N5" s="1138"/>
      <c r="O5" s="23"/>
      <c r="Q5" s="291" t="s">
        <v>113</v>
      </c>
      <c r="R5" s="1349">
        <f>O16</f>
        <v>0</v>
      </c>
      <c r="S5" s="1350"/>
      <c r="V5" s="34"/>
      <c r="X5" s="22"/>
    </row>
    <row r="6" spans="1:255" s="5" customFormat="1" ht="13.5" thickBot="1" x14ac:dyDescent="0.25">
      <c r="A6" s="27"/>
      <c r="B6" s="55" t="s">
        <v>18</v>
      </c>
      <c r="C6" s="1179" t="str">
        <f>'NEW SHOES'!F6</f>
        <v xml:space="preserve">F26 A </v>
      </c>
      <c r="D6" s="1180"/>
      <c r="E6" s="1309" t="s">
        <v>19</v>
      </c>
      <c r="F6" s="1154"/>
      <c r="G6" s="1335">
        <f>'NEW SHOES'!P6</f>
        <v>0</v>
      </c>
      <c r="H6" s="1336"/>
      <c r="I6" s="1336"/>
      <c r="J6" s="1336"/>
      <c r="K6" s="1337"/>
      <c r="L6" s="45"/>
      <c r="M6" s="1199"/>
      <c r="N6" s="1200"/>
      <c r="O6" s="2"/>
      <c r="Q6" s="292" t="s">
        <v>114</v>
      </c>
      <c r="R6" s="1351">
        <f>P16</f>
        <v>0</v>
      </c>
      <c r="S6" s="1352"/>
      <c r="V6" s="18"/>
      <c r="X6" s="22"/>
    </row>
    <row r="7" spans="1:255" s="5" customFormat="1" ht="13.5" thickBot="1" x14ac:dyDescent="0.25">
      <c r="A7" s="559"/>
      <c r="B7" s="56"/>
      <c r="C7" s="70"/>
      <c r="E7" s="1309" t="s">
        <v>24</v>
      </c>
      <c r="F7" s="1154"/>
      <c r="G7" s="1335">
        <f>'NEW SHOES'!P7</f>
        <v>0</v>
      </c>
      <c r="H7" s="1336"/>
      <c r="I7" s="1336"/>
      <c r="J7" s="1336"/>
      <c r="K7" s="1337"/>
      <c r="L7" s="45"/>
      <c r="M7" s="45"/>
      <c r="N7" s="45"/>
      <c r="O7" s="15"/>
      <c r="P7" s="2"/>
      <c r="Q7" s="2"/>
      <c r="R7" s="18"/>
      <c r="S7" s="15"/>
      <c r="U7" s="16"/>
      <c r="V7" s="1334"/>
      <c r="W7" s="1334"/>
      <c r="X7" s="22"/>
    </row>
    <row r="8" spans="1:255" s="5" customFormat="1" ht="13.7" customHeight="1" thickBot="1" x14ac:dyDescent="0.3">
      <c r="A8" s="461"/>
      <c r="B8" s="148"/>
      <c r="C8" s="148"/>
      <c r="E8" s="1178" t="s">
        <v>30</v>
      </c>
      <c r="F8" s="1122"/>
      <c r="G8" s="1208">
        <f>'NEW SHOES'!P8</f>
        <v>0</v>
      </c>
      <c r="H8" s="1149"/>
      <c r="I8" s="255" t="s">
        <v>31</v>
      </c>
      <c r="J8" s="1327">
        <f>'NEW SHOES'!U8</f>
        <v>0</v>
      </c>
      <c r="K8" s="1328"/>
      <c r="L8" s="45"/>
      <c r="M8" s="45"/>
      <c r="Q8" s="290" t="s">
        <v>115</v>
      </c>
      <c r="R8" s="1323">
        <f>'NEW SHOES'!AG7</f>
        <v>0</v>
      </c>
      <c r="S8" s="1324"/>
      <c r="T8" s="15"/>
      <c r="U8" s="15"/>
      <c r="V8" s="15"/>
      <c r="W8" s="15"/>
      <c r="X8" s="21"/>
    </row>
    <row r="9" spans="1:255" s="5" customFormat="1" ht="13.5" customHeight="1" thickBot="1" x14ac:dyDescent="0.3">
      <c r="A9" s="461"/>
      <c r="B9" s="148"/>
      <c r="C9" s="148"/>
      <c r="G9" s="45"/>
      <c r="H9" s="45"/>
      <c r="I9" s="45"/>
      <c r="J9" s="45"/>
      <c r="K9" s="45"/>
      <c r="M9" s="63"/>
      <c r="N9" s="63"/>
      <c r="O9" s="63"/>
      <c r="Q9" s="293" t="s">
        <v>104</v>
      </c>
      <c r="R9" s="1325">
        <f>'NEW SHOES'!AG9</f>
        <v>0</v>
      </c>
      <c r="S9" s="1326"/>
      <c r="T9" s="15"/>
      <c r="U9" s="15"/>
      <c r="V9" s="1334"/>
      <c r="W9" s="1334"/>
      <c r="X9" s="15"/>
      <c r="Y9" s="15"/>
      <c r="Z9" s="15"/>
      <c r="AA9" s="15"/>
      <c r="AB9" s="33"/>
      <c r="AC9" s="15"/>
      <c r="AD9" s="26"/>
    </row>
    <row r="10" spans="1:255" s="38" customFormat="1" ht="15" customHeight="1" thickBot="1" x14ac:dyDescent="0.25">
      <c r="A10" s="243"/>
      <c r="B10" s="242" t="s">
        <v>105</v>
      </c>
      <c r="C10" s="36" t="s">
        <v>106</v>
      </c>
      <c r="D10" s="560" t="s">
        <v>107</v>
      </c>
      <c r="E10" s="1331" t="s">
        <v>116</v>
      </c>
      <c r="F10" s="1332"/>
      <c r="G10" s="1332"/>
      <c r="H10" s="1332"/>
      <c r="I10" s="1332"/>
      <c r="J10" s="1332"/>
      <c r="K10" s="1332"/>
      <c r="L10" s="1333"/>
      <c r="M10" s="251" t="s">
        <v>117</v>
      </c>
      <c r="N10" s="37" t="s">
        <v>118</v>
      </c>
      <c r="O10" s="1319" t="s">
        <v>119</v>
      </c>
      <c r="P10" s="1321" t="s">
        <v>94</v>
      </c>
      <c r="Q10" s="1329" t="s">
        <v>112</v>
      </c>
      <c r="R10" s="5"/>
      <c r="S10" s="5"/>
      <c r="T10" s="5"/>
      <c r="U10" s="5"/>
      <c r="V10" s="5"/>
      <c r="W10" s="5"/>
      <c r="X10" s="5"/>
      <c r="Y10" s="5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</row>
    <row r="11" spans="1:255" s="74" customFormat="1" ht="15" customHeight="1" thickBot="1" x14ac:dyDescent="0.3">
      <c r="A11" s="244" t="s">
        <v>120</v>
      </c>
      <c r="B11" s="245"/>
      <c r="C11" s="246"/>
      <c r="D11" s="561"/>
      <c r="E11" s="247" t="s">
        <v>121</v>
      </c>
      <c r="F11" s="248" t="s">
        <v>122</v>
      </c>
      <c r="G11" s="249" t="s">
        <v>123</v>
      </c>
      <c r="H11" s="248" t="s">
        <v>124</v>
      </c>
      <c r="I11" s="249" t="s">
        <v>125</v>
      </c>
      <c r="J11" s="249" t="s">
        <v>126</v>
      </c>
      <c r="K11" s="249" t="s">
        <v>127</v>
      </c>
      <c r="L11" s="250" t="s">
        <v>128</v>
      </c>
      <c r="M11" s="252"/>
      <c r="N11" s="253" t="s">
        <v>108</v>
      </c>
      <c r="O11" s="1320"/>
      <c r="P11" s="1322"/>
      <c r="Q11" s="1330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</row>
    <row r="12" spans="1:255" s="39" customFormat="1" ht="15" customHeight="1" x14ac:dyDescent="0.2">
      <c r="A12" s="472"/>
      <c r="B12" s="454"/>
      <c r="C12" s="457"/>
      <c r="D12" s="473"/>
      <c r="E12" s="75"/>
      <c r="F12" s="75"/>
      <c r="G12" s="424"/>
      <c r="H12" s="75"/>
      <c r="I12" s="424"/>
      <c r="J12" s="75"/>
      <c r="K12" s="424"/>
      <c r="L12" s="448"/>
      <c r="M12" s="376" t="s">
        <v>197</v>
      </c>
      <c r="N12" s="455"/>
      <c r="O12" s="466">
        <f>SUM(E12:L12)</f>
        <v>0</v>
      </c>
      <c r="P12" s="467">
        <f t="shared" ref="P12:P15" si="0">O12*N12</f>
        <v>0</v>
      </c>
      <c r="Q12" s="465"/>
    </row>
    <row r="13" spans="1:255" s="39" customFormat="1" ht="15" customHeight="1" x14ac:dyDescent="0.2">
      <c r="A13" s="472"/>
      <c r="B13" s="452"/>
      <c r="C13" s="457"/>
      <c r="D13" s="588"/>
      <c r="E13" s="75"/>
      <c r="F13" s="75"/>
      <c r="G13" s="426"/>
      <c r="H13" s="75"/>
      <c r="I13" s="426"/>
      <c r="J13" s="75"/>
      <c r="K13" s="426"/>
      <c r="L13" s="448"/>
      <c r="M13" s="445" t="s">
        <v>197</v>
      </c>
      <c r="N13" s="453"/>
      <c r="O13" s="468">
        <f t="shared" ref="O13:O15" si="1">SUM(E13:L13)</f>
        <v>0</v>
      </c>
      <c r="P13" s="469">
        <f t="shared" si="0"/>
        <v>0</v>
      </c>
      <c r="Q13" s="465"/>
    </row>
    <row r="14" spans="1:255" s="39" customFormat="1" ht="15" customHeight="1" x14ac:dyDescent="0.2">
      <c r="A14" s="472"/>
      <c r="B14" s="454"/>
      <c r="C14" s="474"/>
      <c r="D14" s="473"/>
      <c r="E14" s="75"/>
      <c r="F14" s="424"/>
      <c r="G14" s="75"/>
      <c r="H14" s="424"/>
      <c r="I14" s="75"/>
      <c r="J14" s="424"/>
      <c r="K14" s="448"/>
      <c r="L14" s="448"/>
      <c r="M14" s="376" t="s">
        <v>197</v>
      </c>
      <c r="N14" s="455"/>
      <c r="O14" s="466">
        <f t="shared" si="1"/>
        <v>0</v>
      </c>
      <c r="P14" s="467">
        <f t="shared" si="0"/>
        <v>0</v>
      </c>
      <c r="Q14" s="465"/>
    </row>
    <row r="15" spans="1:255" s="39" customFormat="1" ht="15" customHeight="1" thickBot="1" x14ac:dyDescent="0.25">
      <c r="A15" s="472"/>
      <c r="B15" s="452"/>
      <c r="C15" s="457"/>
      <c r="D15" s="588"/>
      <c r="E15" s="75"/>
      <c r="F15" s="426"/>
      <c r="G15" s="75"/>
      <c r="H15" s="426"/>
      <c r="I15" s="75"/>
      <c r="J15" s="426"/>
      <c r="K15" s="448"/>
      <c r="L15" s="448"/>
      <c r="M15" s="445" t="s">
        <v>197</v>
      </c>
      <c r="N15" s="453"/>
      <c r="O15" s="468">
        <f t="shared" si="1"/>
        <v>0</v>
      </c>
      <c r="P15" s="469">
        <f t="shared" si="0"/>
        <v>0</v>
      </c>
      <c r="Q15" s="465"/>
    </row>
    <row r="16" spans="1:255" ht="15.75" thickBot="1" x14ac:dyDescent="0.3">
      <c r="A16" s="1317" t="s">
        <v>129</v>
      </c>
      <c r="B16" s="1318"/>
      <c r="C16" s="1318"/>
      <c r="D16" s="475"/>
      <c r="E16" s="476"/>
      <c r="F16" s="477"/>
      <c r="G16" s="477"/>
      <c r="H16" s="477"/>
      <c r="I16" s="477"/>
      <c r="J16" s="477"/>
      <c r="K16" s="477"/>
      <c r="L16" s="477"/>
      <c r="M16" s="478"/>
      <c r="N16" s="479"/>
      <c r="O16" s="475">
        <f>SUM(O11:O11)</f>
        <v>0</v>
      </c>
      <c r="P16" s="480">
        <f>SUM(P11:P11)</f>
        <v>0</v>
      </c>
      <c r="Q16" s="465"/>
    </row>
  </sheetData>
  <mergeCells count="28">
    <mergeCell ref="A1:R3"/>
    <mergeCell ref="E4:F4"/>
    <mergeCell ref="E5:F5"/>
    <mergeCell ref="E6:F6"/>
    <mergeCell ref="R4:S4"/>
    <mergeCell ref="R5:S5"/>
    <mergeCell ref="R6:S6"/>
    <mergeCell ref="C4:D4"/>
    <mergeCell ref="C5:D5"/>
    <mergeCell ref="C6:D6"/>
    <mergeCell ref="G4:K4"/>
    <mergeCell ref="M5:N6"/>
    <mergeCell ref="G5:K5"/>
    <mergeCell ref="G6:K6"/>
    <mergeCell ref="E7:F7"/>
    <mergeCell ref="E8:F8"/>
    <mergeCell ref="V7:W7"/>
    <mergeCell ref="V9:W9"/>
    <mergeCell ref="G7:K7"/>
    <mergeCell ref="A16:C16"/>
    <mergeCell ref="O10:O11"/>
    <mergeCell ref="P10:P11"/>
    <mergeCell ref="R8:S8"/>
    <mergeCell ref="R9:S9"/>
    <mergeCell ref="G8:H8"/>
    <mergeCell ref="J8:K8"/>
    <mergeCell ref="Q10:Q11"/>
    <mergeCell ref="E10:L10"/>
  </mergeCells>
  <dataValidations count="1">
    <dataValidation type="list" allowBlank="1" showInputMessage="1" showErrorMessage="1" sqref="AB9" xr:uid="{00000000-0002-0000-0400-000000000000}">
      <formula1>#REF!</formula1>
    </dataValidation>
  </dataValidations>
  <pageMargins left="0.25" right="0.25" top="0.75" bottom="0.75" header="0.3" footer="0.3"/>
  <pageSetup scale="54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13"/>
  <sheetViews>
    <sheetView showGridLines="0" zoomScale="80" zoomScaleNormal="80" workbookViewId="0">
      <pane ySplit="11" topLeftCell="A12" activePane="bottomLeft" state="frozen"/>
      <selection pane="bottomLeft" activeCell="C19" sqref="C19"/>
    </sheetView>
  </sheetViews>
  <sheetFormatPr defaultRowHeight="12.75" x14ac:dyDescent="0.2"/>
  <cols>
    <col min="1" max="1" width="28" bestFit="1" customWidth="1"/>
    <col min="2" max="2" width="12" style="12" customWidth="1"/>
    <col min="4" max="4" width="30.5703125" customWidth="1"/>
    <col min="20" max="20" width="11.28515625" customWidth="1"/>
    <col min="23" max="23" width="15.42578125" customWidth="1"/>
    <col min="24" max="24" width="23.42578125" bestFit="1" customWidth="1"/>
  </cols>
  <sheetData>
    <row r="1" spans="1:256" s="5" customFormat="1" x14ac:dyDescent="0.2">
      <c r="B1" s="1383" t="str">
        <f>'NEW SHOES'!E1</f>
        <v>FALL 2026 PROGRAM NEW SHOES</v>
      </c>
      <c r="C1" s="1384"/>
      <c r="D1" s="1384"/>
      <c r="E1" s="1384"/>
      <c r="F1" s="1384"/>
      <c r="G1" s="1384"/>
      <c r="H1" s="1384"/>
      <c r="I1" s="1384"/>
      <c r="J1" s="1384"/>
      <c r="K1" s="1384"/>
      <c r="L1" s="1384"/>
      <c r="M1" s="1384"/>
      <c r="N1" s="1384"/>
      <c r="O1" s="1384"/>
      <c r="P1" s="1384"/>
      <c r="Q1" s="1384"/>
      <c r="R1" s="1385"/>
    </row>
    <row r="2" spans="1:256" s="5" customFormat="1" ht="15" customHeight="1" x14ac:dyDescent="0.2">
      <c r="B2" s="1386"/>
      <c r="C2" s="1342"/>
      <c r="D2" s="1342"/>
      <c r="E2" s="1342"/>
      <c r="F2" s="1342"/>
      <c r="G2" s="1342"/>
      <c r="H2" s="1342"/>
      <c r="I2" s="1342"/>
      <c r="J2" s="1342"/>
      <c r="K2" s="1342"/>
      <c r="L2" s="1342"/>
      <c r="M2" s="1342"/>
      <c r="N2" s="1342"/>
      <c r="O2" s="1342"/>
      <c r="P2" s="1342"/>
      <c r="Q2" s="1342"/>
      <c r="R2" s="1387"/>
      <c r="T2" s="30"/>
      <c r="U2" s="31"/>
      <c r="V2" s="31"/>
      <c r="W2" s="31"/>
      <c r="X2" s="31"/>
      <c r="Y2" s="4"/>
      <c r="Z2" s="4"/>
      <c r="AA2" s="4"/>
      <c r="AB2" s="6"/>
    </row>
    <row r="3" spans="1:256" s="5" customFormat="1" ht="15" customHeight="1" thickBot="1" x14ac:dyDescent="0.25">
      <c r="B3" s="1386"/>
      <c r="C3" s="1342"/>
      <c r="D3" s="1342"/>
      <c r="E3" s="1342"/>
      <c r="F3" s="1342"/>
      <c r="G3" s="1342"/>
      <c r="H3" s="1342"/>
      <c r="I3" s="1342"/>
      <c r="J3" s="1342"/>
      <c r="K3" s="1342"/>
      <c r="L3" s="1342"/>
      <c r="M3" s="1388"/>
      <c r="N3" s="1388"/>
      <c r="O3" s="1388"/>
      <c r="P3" s="1388"/>
      <c r="Q3" s="1388"/>
      <c r="R3" s="1389"/>
      <c r="S3" s="32"/>
      <c r="U3" s="34"/>
      <c r="V3" s="31"/>
      <c r="W3" s="31"/>
      <c r="X3" s="31"/>
      <c r="AA3" s="34"/>
      <c r="AB3" s="6"/>
      <c r="AC3" s="22"/>
    </row>
    <row r="4" spans="1:256" s="5" customFormat="1" ht="13.5" thickBot="1" x14ac:dyDescent="0.25">
      <c r="B4" s="276" t="s">
        <v>5</v>
      </c>
      <c r="C4" s="1390">
        <f>'NEW SHOES'!P4</f>
        <v>0</v>
      </c>
      <c r="D4" s="1391"/>
      <c r="E4" s="1176" t="s">
        <v>6</v>
      </c>
      <c r="F4" s="1177"/>
      <c r="G4" s="1390">
        <f>'NEW SHOES'!P4</f>
        <v>0</v>
      </c>
      <c r="H4" s="1391"/>
      <c r="I4" s="1391"/>
      <c r="J4" s="1391"/>
      <c r="K4" s="1391"/>
      <c r="L4" s="1392"/>
      <c r="N4" s="23"/>
      <c r="O4" s="23"/>
      <c r="P4" s="23"/>
      <c r="Q4" s="23"/>
      <c r="S4" s="1396"/>
      <c r="T4" s="1397"/>
      <c r="U4" s="1394"/>
      <c r="V4" s="1395"/>
      <c r="W4" s="22"/>
    </row>
    <row r="5" spans="1:256" s="5" customFormat="1" ht="13.5" thickBot="1" x14ac:dyDescent="0.25">
      <c r="B5" s="277" t="s">
        <v>12</v>
      </c>
      <c r="C5" s="1365">
        <f>'NEW SHOES'!P5</f>
        <v>0</v>
      </c>
      <c r="D5" s="1366"/>
      <c r="E5" s="1309" t="s">
        <v>13</v>
      </c>
      <c r="F5" s="1154"/>
      <c r="G5" s="1365">
        <f>'NEW SHOES'!P5</f>
        <v>0</v>
      </c>
      <c r="H5" s="1366"/>
      <c r="I5" s="1366"/>
      <c r="J5" s="1366"/>
      <c r="K5" s="1366"/>
      <c r="L5" s="1393"/>
      <c r="N5" s="61" t="str">
        <f>'NEW SHOES'!W4</f>
        <v>NO</v>
      </c>
      <c r="O5" s="1137" t="s">
        <v>74</v>
      </c>
      <c r="P5" s="1138"/>
      <c r="Q5" s="23"/>
      <c r="S5" s="1398" t="s">
        <v>130</v>
      </c>
      <c r="T5" s="1399"/>
      <c r="U5" s="1367">
        <f>T13</f>
        <v>0</v>
      </c>
      <c r="V5" s="1368"/>
      <c r="W5" s="22"/>
    </row>
    <row r="6" spans="1:256" s="5" customFormat="1" ht="13.5" thickBot="1" x14ac:dyDescent="0.25">
      <c r="B6" s="278" t="s">
        <v>18</v>
      </c>
      <c r="C6" s="1359" t="str">
        <f>'NEW SHOES'!F6</f>
        <v xml:space="preserve">F26 A </v>
      </c>
      <c r="D6" s="1360"/>
      <c r="E6" s="1309" t="s">
        <v>77</v>
      </c>
      <c r="F6" s="1154"/>
      <c r="G6" s="1365">
        <f>'NEW SHOES'!P6</f>
        <v>0</v>
      </c>
      <c r="H6" s="1366"/>
      <c r="I6" s="1366"/>
      <c r="J6" s="1366"/>
      <c r="K6" s="1366"/>
      <c r="L6" s="1393"/>
      <c r="N6" s="24"/>
      <c r="O6" s="1199"/>
      <c r="P6" s="1200"/>
      <c r="Q6" s="2"/>
      <c r="S6" s="1218" t="s">
        <v>91</v>
      </c>
      <c r="T6" s="1219"/>
      <c r="U6" s="1357">
        <f>W13</f>
        <v>0</v>
      </c>
      <c r="V6" s="1358"/>
      <c r="W6" s="22"/>
    </row>
    <row r="7" spans="1:256" s="5" customFormat="1" ht="13.5" thickBot="1" x14ac:dyDescent="0.25">
      <c r="B7" s="56"/>
      <c r="C7" s="62"/>
      <c r="D7" s="45"/>
      <c r="E7" s="1309" t="s">
        <v>24</v>
      </c>
      <c r="F7" s="1154"/>
      <c r="G7" s="1365">
        <f>'NEW SHOES'!P7</f>
        <v>0</v>
      </c>
      <c r="H7" s="1366"/>
      <c r="I7" s="1366"/>
      <c r="J7" s="1366"/>
      <c r="K7" s="1366"/>
      <c r="L7" s="1393"/>
      <c r="N7" s="15"/>
      <c r="O7" s="15"/>
      <c r="P7" s="15"/>
      <c r="Q7" s="15"/>
      <c r="R7" s="15"/>
      <c r="W7" s="22"/>
    </row>
    <row r="8" spans="1:256" s="5" customFormat="1" ht="16.5" customHeight="1" thickBot="1" x14ac:dyDescent="0.25">
      <c r="A8" s="549"/>
      <c r="B8" s="56"/>
      <c r="C8" s="27"/>
      <c r="E8" s="1178" t="s">
        <v>30</v>
      </c>
      <c r="F8" s="1122"/>
      <c r="G8" s="1361">
        <f>'NEW SHOES'!P8</f>
        <v>0</v>
      </c>
      <c r="H8" s="1362"/>
      <c r="I8" s="1363" t="s">
        <v>31</v>
      </c>
      <c r="J8" s="1364"/>
      <c r="K8" s="1307">
        <f>'NEW SHOES'!U8</f>
        <v>0</v>
      </c>
      <c r="L8" s="1181"/>
      <c r="M8" s="25"/>
      <c r="N8" s="25"/>
      <c r="O8" s="15"/>
      <c r="P8" s="15"/>
      <c r="Q8" s="15"/>
      <c r="R8" s="15"/>
      <c r="S8" s="1182" t="s">
        <v>103</v>
      </c>
      <c r="T8" s="1183"/>
      <c r="U8" s="1371">
        <f>'NEW SHOES'!AG7</f>
        <v>0</v>
      </c>
      <c r="V8" s="1372"/>
      <c r="W8" s="21"/>
      <c r="Y8" s="27"/>
    </row>
    <row r="9" spans="1:256" s="5" customFormat="1" ht="16.5" customHeight="1" thickBot="1" x14ac:dyDescent="0.3">
      <c r="A9" s="547"/>
      <c r="B9" s="463"/>
      <c r="C9" s="544"/>
      <c r="D9" s="7"/>
      <c r="E9" s="46"/>
      <c r="F9" s="46"/>
      <c r="G9" s="60"/>
      <c r="H9" s="60"/>
      <c r="I9" s="60"/>
      <c r="J9" s="60"/>
      <c r="K9" s="60"/>
      <c r="L9" s="60"/>
      <c r="M9" s="7"/>
      <c r="N9" s="7"/>
      <c r="O9" s="7"/>
      <c r="P9" s="7"/>
      <c r="Q9" s="7"/>
      <c r="R9" s="7"/>
      <c r="S9" s="1381" t="s">
        <v>104</v>
      </c>
      <c r="T9" s="1382"/>
      <c r="U9" s="1373">
        <f>'NEW SHOES'!AG9</f>
        <v>0</v>
      </c>
      <c r="V9" s="1374"/>
      <c r="W9" s="15"/>
      <c r="X9" s="15"/>
      <c r="Y9" s="15"/>
      <c r="Z9" s="15"/>
      <c r="AA9" s="33"/>
      <c r="AB9" s="15"/>
      <c r="AC9" s="26"/>
    </row>
    <row r="10" spans="1:256" s="5" customFormat="1" ht="16.5" customHeight="1" thickBot="1" x14ac:dyDescent="0.3">
      <c r="A10" s="548"/>
      <c r="B10" s="545"/>
      <c r="C10" s="546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15"/>
      <c r="T10" s="15"/>
      <c r="U10" s="15"/>
      <c r="V10" s="45"/>
      <c r="Y10" s="1146"/>
      <c r="Z10" s="1146"/>
      <c r="AA10" s="35"/>
      <c r="AB10" s="22"/>
      <c r="AC10" s="17" t="s">
        <v>131</v>
      </c>
    </row>
    <row r="11" spans="1:256" s="87" customFormat="1" ht="15.75" thickTop="1" x14ac:dyDescent="0.25">
      <c r="A11" s="365" t="s">
        <v>132</v>
      </c>
      <c r="B11" s="366" t="s">
        <v>105</v>
      </c>
      <c r="C11" s="78" t="s">
        <v>106</v>
      </c>
      <c r="D11" s="79" t="s">
        <v>107</v>
      </c>
      <c r="E11" s="80"/>
      <c r="F11" s="81">
        <v>3</v>
      </c>
      <c r="G11" s="81">
        <v>4</v>
      </c>
      <c r="H11" s="82">
        <v>5</v>
      </c>
      <c r="I11" s="83">
        <v>6</v>
      </c>
      <c r="J11" s="81">
        <v>7</v>
      </c>
      <c r="K11" s="84" t="s">
        <v>52</v>
      </c>
      <c r="L11" s="84" t="s">
        <v>54</v>
      </c>
      <c r="M11" s="84" t="s">
        <v>56</v>
      </c>
      <c r="N11" s="84" t="s">
        <v>58</v>
      </c>
      <c r="O11" s="84" t="s">
        <v>60</v>
      </c>
      <c r="P11" s="84" t="s">
        <v>61</v>
      </c>
      <c r="Q11" s="84">
        <v>14</v>
      </c>
      <c r="R11" s="84" t="s">
        <v>133</v>
      </c>
      <c r="S11" s="84">
        <v>16</v>
      </c>
      <c r="T11" s="85" t="s">
        <v>119</v>
      </c>
      <c r="U11" s="1375" t="s">
        <v>108</v>
      </c>
      <c r="V11" s="1376"/>
      <c r="W11" s="79" t="s">
        <v>94</v>
      </c>
      <c r="X11" s="86" t="s">
        <v>112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</row>
    <row r="12" spans="1:256" s="147" customFormat="1" ht="18" customHeight="1" thickBot="1" x14ac:dyDescent="0.3">
      <c r="A12" s="589"/>
      <c r="B12" s="590"/>
      <c r="C12" s="591"/>
      <c r="D12" s="1379"/>
      <c r="E12" s="1380"/>
      <c r="F12" s="592"/>
      <c r="G12" s="592"/>
      <c r="H12" s="592"/>
      <c r="I12" s="592"/>
      <c r="J12" s="593"/>
      <c r="K12" s="593"/>
      <c r="L12" s="593"/>
      <c r="M12" s="593"/>
      <c r="N12" s="593"/>
      <c r="O12" s="593"/>
      <c r="P12" s="593"/>
      <c r="Q12" s="592"/>
      <c r="R12" s="592"/>
      <c r="S12" s="592"/>
      <c r="T12" s="367">
        <f t="shared" ref="T12" si="0">SUM(F12:S12)</f>
        <v>0</v>
      </c>
      <c r="U12" s="1377">
        <v>16.5</v>
      </c>
      <c r="V12" s="1378"/>
      <c r="W12" s="594">
        <f t="shared" ref="W12" si="1">T12*U12</f>
        <v>0</v>
      </c>
      <c r="X12" s="595"/>
    </row>
    <row r="13" spans="1:256" ht="17.25" thickBot="1" x14ac:dyDescent="0.3">
      <c r="A13" s="147"/>
      <c r="B13" s="368"/>
      <c r="C13" s="369"/>
      <c r="D13" s="1369" t="s">
        <v>134</v>
      </c>
      <c r="E13" s="1369"/>
      <c r="F13" s="370"/>
      <c r="G13" s="369"/>
      <c r="H13" s="369"/>
      <c r="I13" s="369"/>
      <c r="J13" s="369"/>
      <c r="K13" s="371"/>
      <c r="L13" s="369"/>
      <c r="M13" s="369"/>
      <c r="N13" s="369"/>
      <c r="O13" s="369"/>
      <c r="P13" s="369"/>
      <c r="Q13" s="369"/>
      <c r="R13" s="369"/>
      <c r="S13" s="372"/>
      <c r="T13" s="373">
        <f>SUM(T12:T12)</f>
        <v>0</v>
      </c>
      <c r="U13" s="1370"/>
      <c r="V13" s="1370"/>
      <c r="W13" s="374">
        <f>SUM(W12:W12)</f>
        <v>0</v>
      </c>
      <c r="X13" s="375"/>
    </row>
  </sheetData>
  <mergeCells count="33">
    <mergeCell ref="U4:V4"/>
    <mergeCell ref="E4:F4"/>
    <mergeCell ref="E5:F5"/>
    <mergeCell ref="C4:D4"/>
    <mergeCell ref="S4:T4"/>
    <mergeCell ref="S5:T5"/>
    <mergeCell ref="B1:R3"/>
    <mergeCell ref="G4:L4"/>
    <mergeCell ref="G5:L5"/>
    <mergeCell ref="G6:L6"/>
    <mergeCell ref="E7:F7"/>
    <mergeCell ref="G7:L7"/>
    <mergeCell ref="D13:E13"/>
    <mergeCell ref="U13:V13"/>
    <mergeCell ref="Y10:Z10"/>
    <mergeCell ref="U8:V8"/>
    <mergeCell ref="U9:V9"/>
    <mergeCell ref="E8:F8"/>
    <mergeCell ref="U11:V11"/>
    <mergeCell ref="U12:V12"/>
    <mergeCell ref="D12:E12"/>
    <mergeCell ref="S9:T9"/>
    <mergeCell ref="U6:V6"/>
    <mergeCell ref="S6:T6"/>
    <mergeCell ref="O5:P6"/>
    <mergeCell ref="C6:D6"/>
    <mergeCell ref="G8:H8"/>
    <mergeCell ref="I8:J8"/>
    <mergeCell ref="K8:L8"/>
    <mergeCell ref="S8:T8"/>
    <mergeCell ref="C5:D5"/>
    <mergeCell ref="E6:F6"/>
    <mergeCell ref="U5:V5"/>
  </mergeCells>
  <dataValidations count="1">
    <dataValidation type="list" allowBlank="1" showInputMessage="1" showErrorMessage="1" sqref="AA9" xr:uid="{00000000-0002-0000-0500-000000000000}">
      <formula1>#REF!</formula1>
    </dataValidation>
  </dataValidations>
  <pageMargins left="0.25" right="0.25" top="0.75" bottom="0.75" header="0.3" footer="0.3"/>
  <pageSetup scale="54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IQ26"/>
  <sheetViews>
    <sheetView showGridLines="0" zoomScaleNormal="10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F26" sqref="F26"/>
    </sheetView>
  </sheetViews>
  <sheetFormatPr defaultRowHeight="12.75" x14ac:dyDescent="0.2"/>
  <cols>
    <col min="1" max="1" width="13.7109375" customWidth="1"/>
    <col min="3" max="3" width="43.7109375" customWidth="1"/>
    <col min="22" max="22" width="19.28515625" customWidth="1"/>
    <col min="23" max="23" width="31.28515625" customWidth="1"/>
  </cols>
  <sheetData>
    <row r="1" spans="1:251" s="5" customFormat="1" x14ac:dyDescent="0.2">
      <c r="A1" s="1338" t="str">
        <f>'NEW SHOES'!E1</f>
        <v>FALL 2026 PROGRAM NEW SHOES</v>
      </c>
      <c r="B1" s="1339"/>
      <c r="C1" s="1339"/>
      <c r="D1" s="1339"/>
      <c r="E1" s="1339"/>
      <c r="F1" s="1339"/>
      <c r="G1" s="1339"/>
      <c r="H1" s="1339"/>
      <c r="I1" s="1339"/>
      <c r="J1" s="1339"/>
      <c r="K1" s="1339"/>
      <c r="L1" s="1339"/>
      <c r="M1" s="1339"/>
      <c r="N1" s="1339"/>
      <c r="O1" s="1339"/>
      <c r="P1" s="1339"/>
      <c r="Q1" s="1340"/>
    </row>
    <row r="2" spans="1:251" s="5" customFormat="1" ht="34.700000000000003" customHeight="1" thickBot="1" x14ac:dyDescent="0.25">
      <c r="A2" s="1344"/>
      <c r="B2" s="1345"/>
      <c r="C2" s="1345"/>
      <c r="D2" s="1345"/>
      <c r="E2" s="1345"/>
      <c r="F2" s="1345"/>
      <c r="G2" s="1345"/>
      <c r="H2" s="1345"/>
      <c r="I2" s="1345"/>
      <c r="J2" s="1345"/>
      <c r="K2" s="1345"/>
      <c r="L2" s="1345"/>
      <c r="M2" s="1345"/>
      <c r="N2" s="1345"/>
      <c r="O2" s="1345"/>
      <c r="P2" s="1345"/>
      <c r="Q2" s="1346"/>
      <c r="S2" s="30"/>
      <c r="T2" s="31"/>
      <c r="U2" s="31"/>
      <c r="V2" s="31"/>
      <c r="W2" s="31"/>
      <c r="X2" s="4"/>
      <c r="Y2" s="4"/>
      <c r="Z2" s="4"/>
      <c r="AA2" s="6"/>
    </row>
    <row r="3" spans="1:251" s="5" customFormat="1" ht="18" customHeight="1" thickBot="1" x14ac:dyDescent="0.25">
      <c r="A3" s="223" t="s">
        <v>5</v>
      </c>
      <c r="B3" s="1426">
        <f>'NEW SHOES'!F4</f>
        <v>0</v>
      </c>
      <c r="C3" s="1392"/>
      <c r="D3" s="1309" t="s">
        <v>6</v>
      </c>
      <c r="E3" s="1154"/>
      <c r="F3" s="1435">
        <f>'NEW SHOES'!P4</f>
        <v>0</v>
      </c>
      <c r="G3" s="1391"/>
      <c r="H3" s="1391"/>
      <c r="I3" s="1391"/>
      <c r="J3" s="1391"/>
      <c r="K3" s="1392"/>
      <c r="M3" s="23"/>
      <c r="O3" s="1420"/>
      <c r="P3" s="1421"/>
      <c r="Q3" s="1427"/>
      <c r="R3" s="1395"/>
      <c r="T3" s="265"/>
      <c r="V3" s="22"/>
    </row>
    <row r="4" spans="1:251" s="5" customFormat="1" ht="18" customHeight="1" thickBot="1" x14ac:dyDescent="0.25">
      <c r="A4" s="224" t="s">
        <v>12</v>
      </c>
      <c r="B4" s="1365">
        <f>'NEW SHOES'!F5</f>
        <v>0</v>
      </c>
      <c r="C4" s="1393"/>
      <c r="D4" s="1309" t="s">
        <v>13</v>
      </c>
      <c r="E4" s="1154"/>
      <c r="F4" s="1431">
        <f>'NEW SHOES'!P5</f>
        <v>0</v>
      </c>
      <c r="G4" s="1366"/>
      <c r="H4" s="1366"/>
      <c r="I4" s="1366"/>
      <c r="J4" s="1366"/>
      <c r="K4" s="1393"/>
      <c r="L4" s="273" t="str">
        <f>'NEW SHOES'!W4</f>
        <v>NO</v>
      </c>
      <c r="M4" s="1137" t="s">
        <v>74</v>
      </c>
      <c r="N4" s="1424"/>
      <c r="O4" s="1398" t="s">
        <v>135</v>
      </c>
      <c r="P4" s="1422"/>
      <c r="Q4" s="1428">
        <f>S26</f>
        <v>16</v>
      </c>
      <c r="R4" s="1368"/>
      <c r="T4" s="34"/>
      <c r="V4" s="22"/>
    </row>
    <row r="5" spans="1:251" s="5" customFormat="1" ht="18" customHeight="1" thickBot="1" x14ac:dyDescent="0.25">
      <c r="A5" s="225" t="s">
        <v>18</v>
      </c>
      <c r="B5" s="1359" t="str">
        <f>'NEW SHOES'!F6</f>
        <v xml:space="preserve">F26 A </v>
      </c>
      <c r="C5" s="1415"/>
      <c r="D5" s="1309" t="s">
        <v>77</v>
      </c>
      <c r="E5" s="1154"/>
      <c r="F5" s="1431">
        <f>'NEW SHOES'!P6</f>
        <v>0</v>
      </c>
      <c r="G5" s="1366"/>
      <c r="H5" s="1366"/>
      <c r="I5" s="1366"/>
      <c r="J5" s="1366"/>
      <c r="K5" s="1393"/>
      <c r="L5" s="45"/>
      <c r="M5" s="1199"/>
      <c r="N5" s="1425"/>
      <c r="O5" s="1218" t="s">
        <v>91</v>
      </c>
      <c r="P5" s="1423"/>
      <c r="Q5" s="1436">
        <f>V26</f>
        <v>640</v>
      </c>
      <c r="R5" s="1437"/>
      <c r="T5" s="18"/>
      <c r="V5" s="22"/>
    </row>
    <row r="6" spans="1:251" s="5" customFormat="1" ht="18" customHeight="1" thickBot="1" x14ac:dyDescent="0.25">
      <c r="A6" s="8"/>
      <c r="B6" s="62"/>
      <c r="C6" s="45"/>
      <c r="D6" s="1309" t="s">
        <v>24</v>
      </c>
      <c r="E6" s="1154"/>
      <c r="F6" s="1431">
        <f>'NEW SHOES'!P7</f>
        <v>0</v>
      </c>
      <c r="G6" s="1366"/>
      <c r="H6" s="1366"/>
      <c r="I6" s="1366"/>
      <c r="J6" s="1366"/>
      <c r="K6" s="1393"/>
      <c r="L6" s="45"/>
      <c r="M6" s="24"/>
      <c r="N6" s="45"/>
      <c r="O6" s="24"/>
      <c r="P6" s="24"/>
      <c r="Q6" s="18"/>
      <c r="S6" s="16"/>
      <c r="T6" s="1334"/>
      <c r="U6" s="1334"/>
      <c r="V6" s="22"/>
    </row>
    <row r="7" spans="1:251" s="5" customFormat="1" ht="18" customHeight="1" thickBot="1" x14ac:dyDescent="0.3">
      <c r="A7" s="549" t="s">
        <v>203</v>
      </c>
      <c r="B7" s="562"/>
      <c r="C7" s="39"/>
      <c r="D7" s="1309" t="s">
        <v>30</v>
      </c>
      <c r="E7" s="1154"/>
      <c r="F7" s="1438">
        <f>'NEW SHOES'!P8</f>
        <v>0</v>
      </c>
      <c r="G7" s="1439"/>
      <c r="H7" s="1147" t="s">
        <v>31</v>
      </c>
      <c r="I7" s="1147"/>
      <c r="J7" s="1419">
        <f>'NEW SHOES'!U8</f>
        <v>0</v>
      </c>
      <c r="K7" s="1222"/>
      <c r="L7" s="25" t="s">
        <v>136</v>
      </c>
      <c r="M7" s="25"/>
      <c r="N7" s="1443" t="s">
        <v>86</v>
      </c>
      <c r="O7" s="1444"/>
      <c r="P7" s="1440">
        <f>'NEW SHOES'!AG7</f>
        <v>0</v>
      </c>
      <c r="Q7" s="1441"/>
      <c r="R7" s="1442"/>
      <c r="S7" s="15"/>
      <c r="T7" s="15"/>
      <c r="U7" s="15"/>
      <c r="V7" s="21"/>
    </row>
    <row r="8" spans="1:251" s="5" customFormat="1" ht="18" customHeight="1" thickBot="1" x14ac:dyDescent="0.3">
      <c r="A8" s="547" t="s">
        <v>204</v>
      </c>
      <c r="B8" s="563"/>
      <c r="C8" s="179"/>
      <c r="D8" s="25"/>
      <c r="E8" s="25"/>
      <c r="F8" s="44"/>
      <c r="G8" s="44"/>
      <c r="H8" s="44"/>
      <c r="I8" s="44"/>
      <c r="J8" s="44"/>
      <c r="K8" s="44"/>
      <c r="L8" s="25"/>
      <c r="M8" s="25"/>
      <c r="N8" s="1429" t="s">
        <v>104</v>
      </c>
      <c r="O8" s="1430"/>
      <c r="P8" s="1432">
        <f>'NEW SHOES'!AG9</f>
        <v>0</v>
      </c>
      <c r="Q8" s="1433"/>
      <c r="R8" s="1434"/>
      <c r="S8" s="15"/>
      <c r="T8" s="1334"/>
      <c r="U8" s="1334"/>
      <c r="V8" s="15"/>
      <c r="W8" s="15"/>
      <c r="X8" s="15"/>
      <c r="Y8" s="15"/>
      <c r="Z8" s="33"/>
      <c r="AA8" s="15"/>
      <c r="AB8" s="26"/>
    </row>
    <row r="9" spans="1:251" s="5" customFormat="1" ht="18" customHeight="1" thickBot="1" x14ac:dyDescent="0.3">
      <c r="A9" s="548" t="s">
        <v>205</v>
      </c>
      <c r="B9" s="564"/>
      <c r="C9" s="179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44"/>
      <c r="Q9" s="44"/>
      <c r="R9" s="15"/>
      <c r="S9" s="15"/>
      <c r="T9" s="15"/>
      <c r="X9" s="1146"/>
      <c r="Y9" s="1146"/>
      <c r="Z9" s="35"/>
      <c r="AA9" s="22"/>
      <c r="AB9" s="17" t="s">
        <v>131</v>
      </c>
    </row>
    <row r="10" spans="1:251" s="40" customFormat="1" ht="18" customHeight="1" thickTop="1" thickBot="1" x14ac:dyDescent="0.3">
      <c r="A10" s="358"/>
      <c r="B10" s="1416" t="s">
        <v>137</v>
      </c>
      <c r="C10" s="1417"/>
      <c r="D10" s="1417"/>
      <c r="E10" s="1417"/>
      <c r="F10" s="1417"/>
      <c r="G10" s="1417"/>
      <c r="H10" s="1417"/>
      <c r="I10" s="1417"/>
      <c r="J10" s="1417"/>
      <c r="K10" s="1417"/>
      <c r="L10" s="1417"/>
      <c r="M10" s="1417"/>
      <c r="N10" s="1417"/>
      <c r="O10" s="1417"/>
      <c r="P10" s="1417"/>
      <c r="Q10" s="1417"/>
      <c r="R10" s="1417"/>
      <c r="S10" s="1417"/>
      <c r="T10" s="1417"/>
      <c r="U10" s="1417"/>
      <c r="V10" s="1418"/>
      <c r="W10" s="72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</row>
    <row r="11" spans="1:251" s="39" customFormat="1" ht="16.5" thickBot="1" x14ac:dyDescent="0.3">
      <c r="A11" s="359" t="s">
        <v>105</v>
      </c>
      <c r="B11" s="108" t="s">
        <v>106</v>
      </c>
      <c r="C11" s="109" t="s">
        <v>107</v>
      </c>
      <c r="D11" s="110" t="s">
        <v>138</v>
      </c>
      <c r="E11" s="110" t="s">
        <v>139</v>
      </c>
      <c r="F11" s="110" t="s">
        <v>140</v>
      </c>
      <c r="G11" s="110" t="s">
        <v>141</v>
      </c>
      <c r="H11" s="110" t="s">
        <v>142</v>
      </c>
      <c r="I11" s="110" t="s">
        <v>143</v>
      </c>
      <c r="J11" s="111" t="s">
        <v>144</v>
      </c>
      <c r="K11" s="111" t="s">
        <v>145</v>
      </c>
      <c r="L11" s="110" t="s">
        <v>146</v>
      </c>
      <c r="M11" s="110" t="s">
        <v>147</v>
      </c>
      <c r="N11" s="111" t="s">
        <v>148</v>
      </c>
      <c r="O11" s="110" t="s">
        <v>149</v>
      </c>
      <c r="P11" s="110" t="s">
        <v>150</v>
      </c>
      <c r="Q11" s="110" t="s">
        <v>151</v>
      </c>
      <c r="R11" s="110" t="s">
        <v>152</v>
      </c>
      <c r="S11" s="110" t="s">
        <v>153</v>
      </c>
      <c r="T11" s="1404" t="s">
        <v>108</v>
      </c>
      <c r="U11" s="1405"/>
      <c r="V11" s="109" t="s">
        <v>94</v>
      </c>
      <c r="W11" s="98" t="s">
        <v>112</v>
      </c>
    </row>
    <row r="12" spans="1:251" s="133" customFormat="1" ht="14.25" customHeight="1" x14ac:dyDescent="0.25">
      <c r="A12" s="754" t="s">
        <v>259</v>
      </c>
      <c r="B12" s="755" t="s">
        <v>292</v>
      </c>
      <c r="C12" s="1028" t="s">
        <v>317</v>
      </c>
      <c r="D12" s="360"/>
      <c r="E12" s="360"/>
      <c r="F12" s="406">
        <v>1</v>
      </c>
      <c r="G12" s="406">
        <v>1</v>
      </c>
      <c r="H12" s="406">
        <v>1</v>
      </c>
      <c r="I12" s="406">
        <v>1</v>
      </c>
      <c r="J12" s="406">
        <v>1</v>
      </c>
      <c r="K12" s="406">
        <v>1</v>
      </c>
      <c r="L12" s="406">
        <v>1</v>
      </c>
      <c r="M12" s="406">
        <v>1</v>
      </c>
      <c r="N12" s="204"/>
      <c r="O12" s="361"/>
      <c r="P12" s="361"/>
      <c r="Q12" s="361"/>
      <c r="R12" s="361"/>
      <c r="S12" s="362">
        <f t="shared" ref="S12:S25" si="0">SUM(D12:R12)</f>
        <v>8</v>
      </c>
      <c r="T12" s="1413">
        <v>40</v>
      </c>
      <c r="U12" s="1414"/>
      <c r="V12" s="171">
        <f t="shared" ref="V12:V25" si="1">T12*S12</f>
        <v>320</v>
      </c>
      <c r="W12" s="481"/>
      <c r="X12" s="306" t="s">
        <v>199</v>
      </c>
    </row>
    <row r="13" spans="1:251" s="133" customFormat="1" ht="14.25" customHeight="1" thickBot="1" x14ac:dyDescent="0.3">
      <c r="A13" s="756" t="s">
        <v>259</v>
      </c>
      <c r="B13" s="757">
        <v>96595</v>
      </c>
      <c r="C13" s="1027" t="s">
        <v>318</v>
      </c>
      <c r="D13" s="363"/>
      <c r="E13" s="363"/>
      <c r="F13" s="407">
        <v>1</v>
      </c>
      <c r="G13" s="407">
        <v>1</v>
      </c>
      <c r="H13" s="407">
        <v>1</v>
      </c>
      <c r="I13" s="407">
        <v>1</v>
      </c>
      <c r="J13" s="407">
        <v>1</v>
      </c>
      <c r="K13" s="407">
        <v>1</v>
      </c>
      <c r="L13" s="407">
        <v>1</v>
      </c>
      <c r="M13" s="407">
        <v>1</v>
      </c>
      <c r="N13" s="204"/>
      <c r="O13" s="361"/>
      <c r="P13" s="361"/>
      <c r="Q13" s="361"/>
      <c r="R13" s="361"/>
      <c r="S13" s="364">
        <f t="shared" si="0"/>
        <v>8</v>
      </c>
      <c r="T13" s="1408">
        <v>40</v>
      </c>
      <c r="U13" s="1409"/>
      <c r="V13" s="172">
        <f t="shared" si="1"/>
        <v>320</v>
      </c>
      <c r="W13" s="481"/>
      <c r="X13" s="306" t="s">
        <v>200</v>
      </c>
    </row>
    <row r="14" spans="1:251" s="133" customFormat="1" ht="14.25" hidden="1" customHeight="1" x14ac:dyDescent="0.25">
      <c r="A14" s="411"/>
      <c r="B14" s="483"/>
      <c r="C14" s="484"/>
      <c r="D14" s="363"/>
      <c r="E14" s="363"/>
      <c r="F14" s="485"/>
      <c r="G14" s="485"/>
      <c r="H14" s="485"/>
      <c r="I14" s="485"/>
      <c r="J14" s="485"/>
      <c r="K14" s="485"/>
      <c r="L14" s="485"/>
      <c r="M14" s="485"/>
      <c r="N14" s="485"/>
      <c r="O14" s="485"/>
      <c r="P14" s="485"/>
      <c r="Q14" s="485"/>
      <c r="R14" s="485"/>
      <c r="S14" s="486">
        <f t="shared" si="0"/>
        <v>0</v>
      </c>
      <c r="T14" s="1406"/>
      <c r="U14" s="1407"/>
      <c r="V14" s="487">
        <f t="shared" si="1"/>
        <v>0</v>
      </c>
      <c r="W14" s="481"/>
      <c r="X14" s="306" t="s">
        <v>201</v>
      </c>
    </row>
    <row r="15" spans="1:251" s="133" customFormat="1" ht="14.25" hidden="1" customHeight="1" x14ac:dyDescent="0.25">
      <c r="A15" s="412"/>
      <c r="B15" s="488"/>
      <c r="C15" s="489"/>
      <c r="D15" s="363"/>
      <c r="E15" s="363"/>
      <c r="F15" s="482"/>
      <c r="G15" s="482"/>
      <c r="H15" s="482"/>
      <c r="I15" s="482"/>
      <c r="J15" s="482"/>
      <c r="K15" s="482"/>
      <c r="L15" s="482"/>
      <c r="M15" s="482"/>
      <c r="N15" s="490"/>
      <c r="O15" s="491"/>
      <c r="P15" s="491"/>
      <c r="Q15" s="491"/>
      <c r="R15" s="491"/>
      <c r="S15" s="364">
        <f t="shared" si="0"/>
        <v>0</v>
      </c>
      <c r="T15" s="1410"/>
      <c r="U15" s="1411"/>
      <c r="V15" s="172">
        <f t="shared" si="1"/>
        <v>0</v>
      </c>
      <c r="W15" s="481"/>
      <c r="X15" s="306" t="s">
        <v>202</v>
      </c>
    </row>
    <row r="16" spans="1:251" s="133" customFormat="1" ht="14.25" hidden="1" customHeight="1" x14ac:dyDescent="0.25">
      <c r="A16" s="411"/>
      <c r="B16" s="492"/>
      <c r="C16" s="484"/>
      <c r="D16" s="363"/>
      <c r="E16" s="363"/>
      <c r="F16" s="485"/>
      <c r="G16" s="485"/>
      <c r="H16" s="485"/>
      <c r="I16" s="485"/>
      <c r="J16" s="485"/>
      <c r="K16" s="485"/>
      <c r="L16" s="485"/>
      <c r="M16" s="485"/>
      <c r="N16" s="490"/>
      <c r="O16" s="491"/>
      <c r="P16" s="491"/>
      <c r="Q16" s="491"/>
      <c r="R16" s="491"/>
      <c r="S16" s="486">
        <f t="shared" si="0"/>
        <v>0</v>
      </c>
      <c r="T16" s="1406"/>
      <c r="U16" s="1407"/>
      <c r="V16" s="487">
        <f t="shared" si="1"/>
        <v>0</v>
      </c>
      <c r="W16" s="493"/>
      <c r="X16" s="306"/>
    </row>
    <row r="17" spans="1:23" s="133" customFormat="1" ht="14.25" hidden="1" customHeight="1" x14ac:dyDescent="0.25">
      <c r="A17" s="412"/>
      <c r="B17" s="494"/>
      <c r="C17" s="495"/>
      <c r="D17" s="363"/>
      <c r="E17" s="363"/>
      <c r="F17" s="407"/>
      <c r="G17" s="407"/>
      <c r="H17" s="407"/>
      <c r="I17" s="407"/>
      <c r="J17" s="407"/>
      <c r="K17" s="407"/>
      <c r="L17" s="407"/>
      <c r="M17" s="407"/>
      <c r="N17" s="490"/>
      <c r="O17" s="491"/>
      <c r="P17" s="491"/>
      <c r="Q17" s="491"/>
      <c r="R17" s="491"/>
      <c r="S17" s="364">
        <f t="shared" si="0"/>
        <v>0</v>
      </c>
      <c r="T17" s="1412"/>
      <c r="U17" s="1412"/>
      <c r="V17" s="172">
        <f t="shared" si="1"/>
        <v>0</v>
      </c>
      <c r="W17" s="493"/>
    </row>
    <row r="18" spans="1:23" s="133" customFormat="1" ht="14.25" hidden="1" customHeight="1" x14ac:dyDescent="0.25">
      <c r="A18" s="411"/>
      <c r="B18" s="492"/>
      <c r="C18" s="496"/>
      <c r="D18" s="363"/>
      <c r="E18" s="363"/>
      <c r="F18" s="485"/>
      <c r="G18" s="485"/>
      <c r="H18" s="485"/>
      <c r="I18" s="485"/>
      <c r="J18" s="485"/>
      <c r="K18" s="485"/>
      <c r="L18" s="485"/>
      <c r="M18" s="485"/>
      <c r="N18" s="497"/>
      <c r="O18" s="498"/>
      <c r="P18" s="498"/>
      <c r="Q18" s="498"/>
      <c r="R18" s="498"/>
      <c r="S18" s="486">
        <f t="shared" si="0"/>
        <v>0</v>
      </c>
      <c r="T18" s="1406"/>
      <c r="U18" s="1407"/>
      <c r="V18" s="487">
        <f t="shared" si="1"/>
        <v>0</v>
      </c>
      <c r="W18" s="493"/>
    </row>
    <row r="19" spans="1:23" s="133" customFormat="1" ht="14.25" hidden="1" customHeight="1" x14ac:dyDescent="0.25">
      <c r="A19" s="412"/>
      <c r="B19" s="494"/>
      <c r="C19" s="495"/>
      <c r="D19" s="363"/>
      <c r="E19" s="363"/>
      <c r="F19" s="407"/>
      <c r="G19" s="407"/>
      <c r="H19" s="407"/>
      <c r="I19" s="407"/>
      <c r="J19" s="407"/>
      <c r="K19" s="407"/>
      <c r="L19" s="407"/>
      <c r="M19" s="407"/>
      <c r="N19" s="482"/>
      <c r="O19" s="482"/>
      <c r="P19" s="482"/>
      <c r="Q19" s="482"/>
      <c r="R19" s="491"/>
      <c r="S19" s="364">
        <f t="shared" si="0"/>
        <v>0</v>
      </c>
      <c r="T19" s="1408"/>
      <c r="U19" s="1409"/>
      <c r="V19" s="172">
        <f t="shared" si="1"/>
        <v>0</v>
      </c>
      <c r="W19" s="493"/>
    </row>
    <row r="20" spans="1:23" s="133" customFormat="1" ht="14.25" hidden="1" customHeight="1" x14ac:dyDescent="0.25">
      <c r="A20" s="411"/>
      <c r="B20" s="492"/>
      <c r="C20" s="496"/>
      <c r="D20" s="363"/>
      <c r="E20" s="363"/>
      <c r="F20" s="485"/>
      <c r="G20" s="485"/>
      <c r="H20" s="485"/>
      <c r="I20" s="485"/>
      <c r="J20" s="485"/>
      <c r="K20" s="485"/>
      <c r="L20" s="485"/>
      <c r="M20" s="485"/>
      <c r="N20" s="498"/>
      <c r="O20" s="498"/>
      <c r="P20" s="498"/>
      <c r="Q20" s="498"/>
      <c r="R20" s="498"/>
      <c r="S20" s="486">
        <f t="shared" si="0"/>
        <v>0</v>
      </c>
      <c r="T20" s="1406"/>
      <c r="U20" s="1407"/>
      <c r="V20" s="487">
        <f t="shared" si="1"/>
        <v>0</v>
      </c>
      <c r="W20" s="493"/>
    </row>
    <row r="21" spans="1:23" s="133" customFormat="1" ht="14.25" hidden="1" customHeight="1" x14ac:dyDescent="0.25">
      <c r="A21" s="412"/>
      <c r="B21" s="494"/>
      <c r="C21" s="495"/>
      <c r="D21" s="363"/>
      <c r="E21" s="363"/>
      <c r="F21" s="407"/>
      <c r="G21" s="407"/>
      <c r="H21" s="407"/>
      <c r="I21" s="407"/>
      <c r="J21" s="407"/>
      <c r="K21" s="407"/>
      <c r="L21" s="407"/>
      <c r="M21" s="407"/>
      <c r="N21" s="490"/>
      <c r="O21" s="491"/>
      <c r="P21" s="491"/>
      <c r="Q21" s="491"/>
      <c r="R21" s="491"/>
      <c r="S21" s="364">
        <f t="shared" si="0"/>
        <v>0</v>
      </c>
      <c r="T21" s="1408"/>
      <c r="U21" s="1409"/>
      <c r="V21" s="172">
        <f t="shared" si="1"/>
        <v>0</v>
      </c>
      <c r="W21" s="493"/>
    </row>
    <row r="22" spans="1:23" s="133" customFormat="1" ht="14.25" hidden="1" customHeight="1" x14ac:dyDescent="0.25">
      <c r="A22" s="411"/>
      <c r="B22" s="492"/>
      <c r="C22" s="496"/>
      <c r="D22" s="363"/>
      <c r="E22" s="363"/>
      <c r="F22" s="485"/>
      <c r="G22" s="485"/>
      <c r="H22" s="485"/>
      <c r="I22" s="485"/>
      <c r="J22" s="485"/>
      <c r="K22" s="485"/>
      <c r="L22" s="485"/>
      <c r="M22" s="485"/>
      <c r="N22" s="498"/>
      <c r="O22" s="498"/>
      <c r="P22" s="498"/>
      <c r="Q22" s="498"/>
      <c r="R22" s="498"/>
      <c r="S22" s="486">
        <f t="shared" si="0"/>
        <v>0</v>
      </c>
      <c r="T22" s="1406"/>
      <c r="U22" s="1407"/>
      <c r="V22" s="487">
        <f t="shared" si="1"/>
        <v>0</v>
      </c>
      <c r="W22" s="481"/>
    </row>
    <row r="23" spans="1:23" s="133" customFormat="1" ht="14.25" hidden="1" customHeight="1" x14ac:dyDescent="0.25">
      <c r="A23" s="412"/>
      <c r="B23" s="494"/>
      <c r="C23" s="495"/>
      <c r="D23" s="363"/>
      <c r="E23" s="363"/>
      <c r="F23" s="407"/>
      <c r="G23" s="407"/>
      <c r="H23" s="407"/>
      <c r="I23" s="407"/>
      <c r="J23" s="407"/>
      <c r="K23" s="407"/>
      <c r="L23" s="407"/>
      <c r="M23" s="407"/>
      <c r="N23" s="490"/>
      <c r="O23" s="491"/>
      <c r="P23" s="491"/>
      <c r="Q23" s="491"/>
      <c r="R23" s="491"/>
      <c r="S23" s="364">
        <f t="shared" si="0"/>
        <v>0</v>
      </c>
      <c r="T23" s="1408"/>
      <c r="U23" s="1409"/>
      <c r="V23" s="172">
        <f t="shared" si="1"/>
        <v>0</v>
      </c>
      <c r="W23" s="481"/>
    </row>
    <row r="24" spans="1:23" s="500" customFormat="1" ht="14.25" hidden="1" customHeight="1" x14ac:dyDescent="0.25">
      <c r="A24" s="411"/>
      <c r="B24" s="492"/>
      <c r="C24" s="496"/>
      <c r="D24" s="363"/>
      <c r="E24" s="363"/>
      <c r="F24" s="485"/>
      <c r="G24" s="485"/>
      <c r="H24" s="485"/>
      <c r="I24" s="485"/>
      <c r="J24" s="485"/>
      <c r="K24" s="485"/>
      <c r="L24" s="485"/>
      <c r="M24" s="485"/>
      <c r="N24" s="498"/>
      <c r="O24" s="498"/>
      <c r="P24" s="498"/>
      <c r="Q24" s="498"/>
      <c r="R24" s="498"/>
      <c r="S24" s="486">
        <f t="shared" si="0"/>
        <v>0</v>
      </c>
      <c r="T24" s="1406"/>
      <c r="U24" s="1407"/>
      <c r="V24" s="487">
        <f t="shared" si="1"/>
        <v>0</v>
      </c>
      <c r="W24" s="499"/>
    </row>
    <row r="25" spans="1:23" s="133" customFormat="1" ht="14.25" hidden="1" customHeight="1" thickBot="1" x14ac:dyDescent="0.3">
      <c r="A25" s="412"/>
      <c r="B25" s="501"/>
      <c r="C25" s="502"/>
      <c r="D25" s="503"/>
      <c r="E25" s="503"/>
      <c r="F25" s="504"/>
      <c r="G25" s="504"/>
      <c r="H25" s="504"/>
      <c r="I25" s="504"/>
      <c r="J25" s="504"/>
      <c r="K25" s="504"/>
      <c r="L25" s="504"/>
      <c r="M25" s="504"/>
      <c r="N25" s="505"/>
      <c r="O25" s="506"/>
      <c r="P25" s="506"/>
      <c r="Q25" s="506"/>
      <c r="R25" s="506"/>
      <c r="S25" s="507">
        <f t="shared" si="0"/>
        <v>0</v>
      </c>
      <c r="T25" s="1400"/>
      <c r="U25" s="1401"/>
      <c r="V25" s="508">
        <f t="shared" si="1"/>
        <v>0</v>
      </c>
      <c r="W25" s="481"/>
    </row>
    <row r="26" spans="1:23" s="39" customFormat="1" ht="14.25" customHeight="1" thickBot="1" x14ac:dyDescent="0.25">
      <c r="A26" s="509"/>
      <c r="B26" s="510"/>
      <c r="C26" s="511" t="s">
        <v>154</v>
      </c>
      <c r="D26" s="512"/>
      <c r="E26" s="512"/>
      <c r="F26" s="512"/>
      <c r="G26" s="512"/>
      <c r="H26" s="512"/>
      <c r="I26" s="512"/>
      <c r="J26" s="512"/>
      <c r="K26" s="512"/>
      <c r="L26" s="512"/>
      <c r="M26" s="512"/>
      <c r="N26" s="512"/>
      <c r="O26" s="512"/>
      <c r="P26" s="512"/>
      <c r="Q26" s="512"/>
      <c r="R26" s="512"/>
      <c r="S26" s="513">
        <f>SUM(S12:S25)</f>
        <v>16</v>
      </c>
      <c r="T26" s="1402"/>
      <c r="U26" s="1403"/>
      <c r="V26" s="514">
        <f>SUM(V12:V25)</f>
        <v>640</v>
      </c>
      <c r="W26" s="515"/>
    </row>
  </sheetData>
  <sheetProtection algorithmName="SHA-512" hashValue="2zGRZAXNbCw01eym56zLBRGrIqX+QpYL1zvk5YM0vwHbdWn1zcMdrsG5EOAxLGenqJhyAbFN3XjZ+RpTUj2XDg==" saltValue="JFOUqi+eV4VUuekd5UaipQ==" spinCount="100000" sheet="1" objects="1" scenarios="1"/>
  <mergeCells count="47">
    <mergeCell ref="F3:K3"/>
    <mergeCell ref="F4:K4"/>
    <mergeCell ref="F5:K5"/>
    <mergeCell ref="Q5:R5"/>
    <mergeCell ref="F7:G7"/>
    <mergeCell ref="H7:I7"/>
    <mergeCell ref="P7:R7"/>
    <mergeCell ref="N7:O7"/>
    <mergeCell ref="X9:Y9"/>
    <mergeCell ref="D7:E7"/>
    <mergeCell ref="N8:O8"/>
    <mergeCell ref="D6:E6"/>
    <mergeCell ref="F6:K6"/>
    <mergeCell ref="P8:R8"/>
    <mergeCell ref="T6:U6"/>
    <mergeCell ref="A1:Q2"/>
    <mergeCell ref="B5:C5"/>
    <mergeCell ref="B10:V10"/>
    <mergeCell ref="J7:K7"/>
    <mergeCell ref="O3:P3"/>
    <mergeCell ref="O4:P4"/>
    <mergeCell ref="O5:P5"/>
    <mergeCell ref="D5:E5"/>
    <mergeCell ref="M4:N5"/>
    <mergeCell ref="D4:E4"/>
    <mergeCell ref="B4:C4"/>
    <mergeCell ref="B3:C3"/>
    <mergeCell ref="T8:U8"/>
    <mergeCell ref="D3:E3"/>
    <mergeCell ref="Q3:R3"/>
    <mergeCell ref="Q4:R4"/>
    <mergeCell ref="T25:U25"/>
    <mergeCell ref="T26:U26"/>
    <mergeCell ref="T11:U11"/>
    <mergeCell ref="T20:U20"/>
    <mergeCell ref="T21:U21"/>
    <mergeCell ref="T22:U22"/>
    <mergeCell ref="T23:U23"/>
    <mergeCell ref="T24:U24"/>
    <mergeCell ref="T15:U15"/>
    <mergeCell ref="T16:U16"/>
    <mergeCell ref="T17:U17"/>
    <mergeCell ref="T18:U18"/>
    <mergeCell ref="T19:U19"/>
    <mergeCell ref="T12:U12"/>
    <mergeCell ref="T13:U13"/>
    <mergeCell ref="T14:U14"/>
  </mergeCells>
  <dataValidations count="1">
    <dataValidation type="list" allowBlank="1" showInputMessage="1" showErrorMessage="1" sqref="Z8" xr:uid="{00000000-0002-0000-0600-000000000000}">
      <formula1>#REF!</formula1>
    </dataValidation>
  </dataValidations>
  <pageMargins left="0.25" right="0.25" top="0.75" bottom="0.75" header="0.3" footer="0.3"/>
  <pageSetup scale="54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J20"/>
  <sheetViews>
    <sheetView showGridLines="0" topLeftCell="D1" workbookViewId="0">
      <pane ySplit="11" topLeftCell="A17" activePane="bottomLeft" state="frozen"/>
      <selection pane="bottomLeft" activeCell="Q4" sqref="Q4:T4"/>
    </sheetView>
  </sheetViews>
  <sheetFormatPr defaultRowHeight="12.75" x14ac:dyDescent="0.2"/>
  <cols>
    <col min="1" max="1" width="10.42578125" style="41" customWidth="1"/>
    <col min="2" max="2" width="14" customWidth="1"/>
    <col min="4" max="4" width="17.140625" customWidth="1"/>
    <col min="6" max="6" width="13.140625" customWidth="1"/>
    <col min="14" max="14" width="10.5703125" customWidth="1"/>
    <col min="17" max="17" width="15.140625" customWidth="1"/>
    <col min="18" max="18" width="26.5703125" bestFit="1" customWidth="1"/>
    <col min="19" max="19" width="10.5703125" customWidth="1"/>
    <col min="20" max="20" width="8.42578125" customWidth="1"/>
  </cols>
  <sheetData>
    <row r="1" spans="1:36" s="5" customFormat="1" x14ac:dyDescent="0.2">
      <c r="A1" s="27"/>
      <c r="B1" s="1383" t="str">
        <f>'NEW SHOES'!E1</f>
        <v>FALL 2026 PROGRAM NEW SHOES</v>
      </c>
      <c r="C1" s="1384"/>
      <c r="D1" s="1384"/>
      <c r="E1" s="1384"/>
      <c r="F1" s="1384"/>
      <c r="G1" s="1384"/>
      <c r="H1" s="1384"/>
      <c r="I1" s="1384"/>
      <c r="J1" s="1384"/>
      <c r="K1" s="1384"/>
      <c r="L1" s="1384"/>
      <c r="M1" s="1384"/>
      <c r="N1" s="1384"/>
      <c r="O1" s="1384"/>
      <c r="P1" s="1384"/>
      <c r="Q1" s="1384"/>
      <c r="R1" s="1385"/>
    </row>
    <row r="2" spans="1:36" s="5" customFormat="1" ht="15" customHeight="1" x14ac:dyDescent="0.2">
      <c r="A2" s="27"/>
      <c r="B2" s="1386"/>
      <c r="C2" s="1342"/>
      <c r="D2" s="1342"/>
      <c r="E2" s="1342"/>
      <c r="F2" s="1342"/>
      <c r="G2" s="1342"/>
      <c r="H2" s="1342"/>
      <c r="I2" s="1342"/>
      <c r="J2" s="1342"/>
      <c r="K2" s="1342"/>
      <c r="L2" s="1342"/>
      <c r="M2" s="1342"/>
      <c r="N2" s="1342"/>
      <c r="O2" s="1342"/>
      <c r="P2" s="1342"/>
      <c r="Q2" s="1342"/>
      <c r="R2" s="1387"/>
      <c r="T2" s="30"/>
      <c r="U2" s="31"/>
      <c r="V2" s="31"/>
      <c r="W2" s="31"/>
      <c r="X2" s="31"/>
      <c r="Y2" s="4"/>
      <c r="Z2" s="4"/>
      <c r="AA2" s="4"/>
      <c r="AB2" s="6"/>
    </row>
    <row r="3" spans="1:36" s="5" customFormat="1" ht="14.45" customHeight="1" thickBot="1" x14ac:dyDescent="0.25">
      <c r="A3" s="27"/>
      <c r="B3" s="1386"/>
      <c r="C3" s="1342"/>
      <c r="D3" s="1342"/>
      <c r="E3" s="1342"/>
      <c r="F3" s="1342"/>
      <c r="G3" s="1342"/>
      <c r="H3" s="1342"/>
      <c r="I3" s="1342"/>
      <c r="J3" s="1342"/>
      <c r="K3" s="1342"/>
      <c r="L3" s="1342"/>
      <c r="M3" s="1342"/>
      <c r="N3" s="1342"/>
      <c r="O3" s="1342"/>
      <c r="P3" s="1342"/>
      <c r="Q3" s="1342"/>
      <c r="R3" s="1387"/>
      <c r="S3" s="32"/>
      <c r="U3" s="34"/>
      <c r="V3" s="31"/>
      <c r="W3" s="31"/>
      <c r="X3" s="31"/>
      <c r="AA3" s="34"/>
      <c r="AB3" s="6"/>
      <c r="AC3" s="22"/>
    </row>
    <row r="4" spans="1:36" s="5" customFormat="1" ht="13.5" thickBot="1" x14ac:dyDescent="0.25">
      <c r="A4" s="27"/>
      <c r="B4" s="270" t="s">
        <v>5</v>
      </c>
      <c r="C4" s="1487">
        <f>'NEW SHOES'!F4</f>
        <v>0</v>
      </c>
      <c r="D4" s="1392"/>
      <c r="E4" s="1176" t="s">
        <v>6</v>
      </c>
      <c r="F4" s="1177"/>
      <c r="G4" s="1391">
        <f>'NEW SHOES'!P4</f>
        <v>0</v>
      </c>
      <c r="H4" s="1391"/>
      <c r="I4" s="1391"/>
      <c r="J4" s="1391"/>
      <c r="K4" s="1392"/>
      <c r="L4" s="25"/>
      <c r="N4" s="23"/>
      <c r="Q4" s="1182"/>
      <c r="R4" s="1183"/>
      <c r="S4" s="1485"/>
      <c r="T4" s="1311"/>
      <c r="U4" s="265"/>
      <c r="W4" s="22"/>
    </row>
    <row r="5" spans="1:36" s="5" customFormat="1" ht="13.7" customHeight="1" thickBot="1" x14ac:dyDescent="0.25">
      <c r="A5" s="27"/>
      <c r="B5" s="271" t="s">
        <v>12</v>
      </c>
      <c r="C5" s="1488">
        <f>'NEW SHOES'!F5</f>
        <v>0</v>
      </c>
      <c r="D5" s="1393"/>
      <c r="E5" s="1309" t="s">
        <v>13</v>
      </c>
      <c r="F5" s="1154"/>
      <c r="G5" s="1366">
        <f>'NEW SHOES'!P5</f>
        <v>0</v>
      </c>
      <c r="H5" s="1366"/>
      <c r="I5" s="1366"/>
      <c r="J5" s="1366"/>
      <c r="K5" s="1393"/>
      <c r="L5" s="25"/>
      <c r="M5" s="61" t="str">
        <f>'NEW SHOES'!W4</f>
        <v>NO</v>
      </c>
      <c r="N5" s="1137" t="s">
        <v>74</v>
      </c>
      <c r="O5" s="1138"/>
      <c r="P5" s="27"/>
      <c r="Q5" s="1182" t="s">
        <v>155</v>
      </c>
      <c r="R5" s="1183"/>
      <c r="S5" s="1349">
        <f>N20</f>
        <v>0</v>
      </c>
      <c r="T5" s="1486"/>
      <c r="U5" s="34"/>
      <c r="W5" s="22"/>
    </row>
    <row r="6" spans="1:36" s="5" customFormat="1" ht="13.5" thickBot="1" x14ac:dyDescent="0.25">
      <c r="A6" s="27"/>
      <c r="B6" s="271" t="s">
        <v>18</v>
      </c>
      <c r="C6" s="1488" t="str">
        <f>'NEW SHOES'!F6</f>
        <v xml:space="preserve">F26 A </v>
      </c>
      <c r="D6" s="1393"/>
      <c r="E6" s="1309" t="s">
        <v>77</v>
      </c>
      <c r="F6" s="1154"/>
      <c r="G6" s="1366">
        <f>'NEW SHOES'!P6</f>
        <v>0</v>
      </c>
      <c r="H6" s="1366"/>
      <c r="I6" s="1366"/>
      <c r="J6" s="1366"/>
      <c r="K6" s="1393"/>
      <c r="L6" s="25"/>
      <c r="M6" s="266"/>
      <c r="N6" s="1199"/>
      <c r="O6" s="1200"/>
      <c r="Q6" s="1182" t="s">
        <v>91</v>
      </c>
      <c r="R6" s="1183"/>
      <c r="S6" s="1485">
        <f>Q20</f>
        <v>0</v>
      </c>
      <c r="T6" s="1311"/>
      <c r="U6" s="18"/>
      <c r="W6" s="22"/>
    </row>
    <row r="7" spans="1:36" s="5" customFormat="1" ht="13.5" thickBot="1" x14ac:dyDescent="0.25">
      <c r="A7" s="27"/>
      <c r="B7" s="550"/>
      <c r="C7" s="62"/>
      <c r="D7" s="226"/>
      <c r="E7" s="1309" t="s">
        <v>24</v>
      </c>
      <c r="F7" s="1154"/>
      <c r="G7" s="1366">
        <f>'NEW SHOES'!P7</f>
        <v>0</v>
      </c>
      <c r="H7" s="1366"/>
      <c r="I7" s="1366"/>
      <c r="J7" s="1366"/>
      <c r="K7" s="1393"/>
      <c r="M7" s="45"/>
      <c r="N7" s="15"/>
      <c r="O7" s="45"/>
      <c r="P7" s="15"/>
      <c r="Q7" s="15"/>
      <c r="R7" s="18"/>
      <c r="T7" s="16"/>
      <c r="U7" s="1334"/>
      <c r="V7" s="1334"/>
      <c r="W7" s="22"/>
    </row>
    <row r="8" spans="1:36" s="5" customFormat="1" ht="13.5" customHeight="1" thickBot="1" x14ac:dyDescent="0.3">
      <c r="A8" s="27"/>
      <c r="B8" s="553" t="s">
        <v>203</v>
      </c>
      <c r="C8" s="543"/>
      <c r="D8" s="463"/>
      <c r="E8" s="1178" t="s">
        <v>30</v>
      </c>
      <c r="F8" s="1122"/>
      <c r="G8" s="267">
        <f>'NEW SHOES'!P8</f>
        <v>0</v>
      </c>
      <c r="H8" s="268"/>
      <c r="I8" s="269" t="s">
        <v>31</v>
      </c>
      <c r="J8" s="1419">
        <f>'NEW SHOES'!U8</f>
        <v>0</v>
      </c>
      <c r="K8" s="1222"/>
      <c r="L8" s="25"/>
      <c r="M8" s="25"/>
      <c r="N8" s="25"/>
      <c r="O8" s="1481" t="s">
        <v>86</v>
      </c>
      <c r="P8" s="1482"/>
      <c r="Q8" s="1479">
        <f>'NEW SHOES'!AG7</f>
        <v>0</v>
      </c>
      <c r="R8" s="1480"/>
      <c r="S8" s="15"/>
      <c r="T8" s="15"/>
      <c r="U8" s="15"/>
      <c r="V8" s="15"/>
      <c r="W8" s="21"/>
    </row>
    <row r="9" spans="1:36" s="5" customFormat="1" ht="13.5" customHeight="1" thickBot="1" x14ac:dyDescent="0.3">
      <c r="A9" s="27"/>
      <c r="B9" s="554" t="s">
        <v>204</v>
      </c>
      <c r="C9" s="459"/>
      <c r="D9" s="546"/>
      <c r="E9" s="7"/>
      <c r="F9" s="7"/>
      <c r="G9" s="7"/>
      <c r="H9" s="7"/>
      <c r="I9" s="7"/>
      <c r="J9" s="7"/>
      <c r="K9" s="7"/>
      <c r="L9" s="7"/>
      <c r="M9" s="7"/>
      <c r="N9" s="7"/>
      <c r="O9" s="1483" t="s">
        <v>104</v>
      </c>
      <c r="P9" s="1484"/>
      <c r="Q9" s="1477">
        <f>'NEW SHOES'!AG9</f>
        <v>0</v>
      </c>
      <c r="R9" s="1478"/>
      <c r="S9" s="15"/>
      <c r="T9" s="15"/>
      <c r="U9" s="1334"/>
      <c r="V9" s="1334"/>
      <c r="W9" s="15"/>
      <c r="X9" s="15"/>
      <c r="Y9" s="15"/>
      <c r="Z9" s="15"/>
      <c r="AA9" s="33"/>
      <c r="AB9" s="15"/>
      <c r="AC9" s="26"/>
    </row>
    <row r="10" spans="1:36" s="5" customFormat="1" ht="13.5" thickBot="1" x14ac:dyDescent="0.25">
      <c r="A10" s="28"/>
      <c r="B10" s="555" t="s">
        <v>205</v>
      </c>
      <c r="C10" s="556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7"/>
      <c r="P10" s="7"/>
      <c r="Q10" s="7"/>
      <c r="R10" s="25"/>
      <c r="S10" s="15"/>
      <c r="T10" s="15"/>
      <c r="U10" s="15"/>
      <c r="Y10" s="1146"/>
      <c r="Z10" s="1146"/>
      <c r="AA10" s="35"/>
      <c r="AB10" s="22"/>
      <c r="AC10" s="17" t="s">
        <v>131</v>
      </c>
    </row>
    <row r="11" spans="1:36" s="3" customFormat="1" ht="15.75" thickBot="1" x14ac:dyDescent="0.3">
      <c r="A11" s="88"/>
      <c r="B11" s="551" t="s">
        <v>105</v>
      </c>
      <c r="C11" s="552" t="s">
        <v>106</v>
      </c>
      <c r="D11" s="1474" t="s">
        <v>107</v>
      </c>
      <c r="E11" s="1475"/>
      <c r="F11" s="1476"/>
      <c r="G11" s="89" t="s">
        <v>117</v>
      </c>
      <c r="H11" s="94" t="s">
        <v>156</v>
      </c>
      <c r="I11" s="94" t="s">
        <v>157</v>
      </c>
      <c r="J11" s="94" t="s">
        <v>158</v>
      </c>
      <c r="K11" s="94" t="s">
        <v>159</v>
      </c>
      <c r="L11" s="90" t="s">
        <v>160</v>
      </c>
      <c r="M11" s="94" t="s">
        <v>161</v>
      </c>
      <c r="N11" s="91" t="s">
        <v>162</v>
      </c>
      <c r="O11" s="92" t="s">
        <v>108</v>
      </c>
      <c r="P11" s="93"/>
      <c r="Q11" s="94" t="s">
        <v>94</v>
      </c>
      <c r="R11" s="86" t="s">
        <v>112</v>
      </c>
      <c r="S11" s="77"/>
      <c r="T11" s="95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7"/>
    </row>
    <row r="12" spans="1:36" s="5" customFormat="1" x14ac:dyDescent="0.2">
      <c r="A12" s="1445" t="s">
        <v>220</v>
      </c>
      <c r="B12" s="576" t="s">
        <v>219</v>
      </c>
      <c r="C12" s="328" t="s">
        <v>221</v>
      </c>
      <c r="D12" s="1449" t="s">
        <v>223</v>
      </c>
      <c r="E12" s="1450"/>
      <c r="F12" s="1451"/>
      <c r="G12" s="329"/>
      <c r="H12" s="330"/>
      <c r="I12" s="566"/>
      <c r="J12" s="330"/>
      <c r="K12" s="566"/>
      <c r="L12" s="330"/>
      <c r="M12" s="566"/>
      <c r="N12" s="331">
        <f t="shared" ref="N12:N18" si="0">SUM(H12:M12)</f>
        <v>0</v>
      </c>
      <c r="O12" s="1452"/>
      <c r="P12" s="1453"/>
      <c r="Q12" s="332">
        <f t="shared" ref="Q12:Q18" si="1">N12*O12</f>
        <v>0</v>
      </c>
      <c r="R12" s="333"/>
      <c r="S12" s="192"/>
      <c r="T12" s="193"/>
      <c r="U12" s="193"/>
      <c r="V12" s="193"/>
      <c r="W12" s="194"/>
      <c r="X12" s="194"/>
      <c r="Y12" s="193"/>
      <c r="Z12" s="193"/>
      <c r="AA12" s="193"/>
      <c r="AB12" s="193"/>
      <c r="AC12" s="193"/>
      <c r="AD12" s="195"/>
    </row>
    <row r="13" spans="1:36" s="5" customFormat="1" x14ac:dyDescent="0.2">
      <c r="A13" s="1446"/>
      <c r="B13" s="577" t="s">
        <v>219</v>
      </c>
      <c r="C13" s="334" t="s">
        <v>222</v>
      </c>
      <c r="D13" s="1454" t="s">
        <v>224</v>
      </c>
      <c r="E13" s="1455"/>
      <c r="F13" s="1456"/>
      <c r="G13" s="335"/>
      <c r="H13" s="336"/>
      <c r="I13" s="567"/>
      <c r="J13" s="336"/>
      <c r="K13" s="567"/>
      <c r="L13" s="336"/>
      <c r="M13" s="567"/>
      <c r="N13" s="337">
        <f t="shared" si="0"/>
        <v>0</v>
      </c>
      <c r="O13" s="1457"/>
      <c r="P13" s="1458"/>
      <c r="Q13" s="338">
        <f t="shared" si="1"/>
        <v>0</v>
      </c>
      <c r="R13" s="333"/>
      <c r="S13" s="197"/>
      <c r="T13" s="70"/>
      <c r="U13" s="70"/>
      <c r="V13" s="70"/>
      <c r="W13" s="198"/>
      <c r="X13" s="198"/>
      <c r="Y13" s="70"/>
      <c r="Z13" s="70"/>
      <c r="AA13" s="70"/>
      <c r="AB13" s="70"/>
      <c r="AC13" s="70"/>
      <c r="AD13" s="70"/>
    </row>
    <row r="14" spans="1:36" s="5" customFormat="1" x14ac:dyDescent="0.2">
      <c r="A14" s="1447"/>
      <c r="B14" s="578"/>
      <c r="C14" s="339"/>
      <c r="D14" s="1469"/>
      <c r="E14" s="1470"/>
      <c r="F14" s="1471"/>
      <c r="G14" s="340"/>
      <c r="H14" s="336"/>
      <c r="I14" s="568"/>
      <c r="J14" s="336"/>
      <c r="K14" s="568"/>
      <c r="L14" s="336"/>
      <c r="M14" s="568"/>
      <c r="N14" s="341">
        <f t="shared" si="0"/>
        <v>0</v>
      </c>
      <c r="O14" s="1467"/>
      <c r="P14" s="1468"/>
      <c r="Q14" s="342">
        <f t="shared" si="1"/>
        <v>0</v>
      </c>
      <c r="R14" s="333"/>
      <c r="S14" s="197"/>
      <c r="T14" s="70"/>
      <c r="U14" s="70"/>
      <c r="V14" s="70"/>
      <c r="W14" s="198"/>
      <c r="X14" s="198"/>
      <c r="Y14" s="70"/>
      <c r="Z14" s="70"/>
      <c r="AA14" s="70"/>
      <c r="AB14" s="70"/>
      <c r="AC14" s="70"/>
      <c r="AD14" s="70"/>
    </row>
    <row r="15" spans="1:36" s="5" customFormat="1" x14ac:dyDescent="0.2">
      <c r="A15" s="196"/>
      <c r="B15" s="577"/>
      <c r="C15" s="334"/>
      <c r="D15" s="1454"/>
      <c r="E15" s="1455"/>
      <c r="F15" s="1456"/>
      <c r="G15" s="335"/>
      <c r="H15" s="336"/>
      <c r="I15" s="567"/>
      <c r="J15" s="336"/>
      <c r="K15" s="567"/>
      <c r="L15" s="336"/>
      <c r="M15" s="567"/>
      <c r="N15" s="337">
        <f t="shared" si="0"/>
        <v>0</v>
      </c>
      <c r="O15" s="1457"/>
      <c r="P15" s="1458"/>
      <c r="Q15" s="338">
        <f t="shared" si="1"/>
        <v>0</v>
      </c>
      <c r="R15" s="333"/>
      <c r="S15" s="197"/>
      <c r="T15" s="70"/>
      <c r="U15" s="70"/>
      <c r="V15" s="70"/>
      <c r="W15" s="198"/>
      <c r="X15" s="198"/>
      <c r="Y15" s="70"/>
      <c r="Z15" s="70"/>
      <c r="AA15" s="70"/>
      <c r="AB15" s="70"/>
      <c r="AC15" s="70"/>
      <c r="AD15" s="70"/>
    </row>
    <row r="16" spans="1:36" s="5" customFormat="1" x14ac:dyDescent="0.2">
      <c r="A16" s="196"/>
      <c r="B16" s="578"/>
      <c r="C16" s="339"/>
      <c r="D16" s="1469"/>
      <c r="E16" s="1470"/>
      <c r="F16" s="1471"/>
      <c r="G16" s="340"/>
      <c r="H16" s="336"/>
      <c r="I16" s="568"/>
      <c r="J16" s="336"/>
      <c r="K16" s="568"/>
      <c r="L16" s="336"/>
      <c r="M16" s="568"/>
      <c r="N16" s="341">
        <f t="shared" si="0"/>
        <v>0</v>
      </c>
      <c r="O16" s="1467"/>
      <c r="P16" s="1468"/>
      <c r="Q16" s="342">
        <f t="shared" si="1"/>
        <v>0</v>
      </c>
      <c r="R16" s="333"/>
      <c r="S16" s="197"/>
      <c r="T16" s="70"/>
      <c r="U16" s="70"/>
      <c r="V16" s="70"/>
      <c r="W16" s="198"/>
      <c r="X16" s="198"/>
      <c r="Y16" s="70"/>
      <c r="Z16" s="70"/>
      <c r="AA16" s="70"/>
      <c r="AB16" s="70"/>
      <c r="AC16" s="70"/>
      <c r="AD16" s="70"/>
    </row>
    <row r="17" spans="1:30" s="5" customFormat="1" x14ac:dyDescent="0.2">
      <c r="A17" s="196"/>
      <c r="B17" s="577"/>
      <c r="C17" s="334"/>
      <c r="D17" s="1459"/>
      <c r="E17" s="1460"/>
      <c r="F17" s="1461"/>
      <c r="G17" s="335"/>
      <c r="H17" s="336"/>
      <c r="I17" s="567"/>
      <c r="J17" s="336"/>
      <c r="K17" s="567"/>
      <c r="L17" s="336"/>
      <c r="M17" s="567"/>
      <c r="N17" s="337">
        <f t="shared" si="0"/>
        <v>0</v>
      </c>
      <c r="O17" s="1457"/>
      <c r="P17" s="1458"/>
      <c r="Q17" s="338">
        <f t="shared" si="1"/>
        <v>0</v>
      </c>
      <c r="R17" s="333"/>
      <c r="S17" s="197"/>
      <c r="T17" s="70"/>
      <c r="U17" s="70"/>
      <c r="V17" s="70"/>
      <c r="W17" s="198"/>
      <c r="X17" s="198"/>
      <c r="Y17" s="70"/>
      <c r="Z17" s="70"/>
      <c r="AA17" s="70"/>
      <c r="AB17" s="70"/>
      <c r="AC17" s="70"/>
      <c r="AD17" s="70"/>
    </row>
    <row r="18" spans="1:30" s="5" customFormat="1" ht="13.5" thickBot="1" x14ac:dyDescent="0.25">
      <c r="A18" s="199"/>
      <c r="B18" s="579"/>
      <c r="C18" s="343"/>
      <c r="D18" s="1464"/>
      <c r="E18" s="1465"/>
      <c r="F18" s="1466"/>
      <c r="G18" s="344"/>
      <c r="H18" s="345"/>
      <c r="I18" s="569"/>
      <c r="J18" s="345"/>
      <c r="K18" s="569"/>
      <c r="L18" s="345"/>
      <c r="M18" s="569"/>
      <c r="N18" s="346">
        <f t="shared" si="0"/>
        <v>0</v>
      </c>
      <c r="O18" s="1462"/>
      <c r="P18" s="1463"/>
      <c r="Q18" s="347">
        <f t="shared" si="1"/>
        <v>0</v>
      </c>
      <c r="R18" s="348"/>
      <c r="S18" s="197"/>
      <c r="T18" s="70"/>
      <c r="U18" s="70"/>
      <c r="V18" s="70"/>
      <c r="W18" s="198"/>
      <c r="X18" s="198"/>
      <c r="Y18" s="70"/>
      <c r="Z18" s="70"/>
      <c r="AA18" s="70"/>
      <c r="AB18" s="70"/>
      <c r="AC18" s="70"/>
      <c r="AD18" s="70"/>
    </row>
    <row r="19" spans="1:30" s="5" customFormat="1" ht="13.5" thickBot="1" x14ac:dyDescent="0.25">
      <c r="A19" s="299"/>
      <c r="B19" s="580"/>
      <c r="C19" s="349"/>
      <c r="D19" s="1472"/>
      <c r="E19" s="1472"/>
      <c r="F19" s="1472"/>
      <c r="G19" s="350"/>
      <c r="H19" s="351"/>
      <c r="I19" s="570"/>
      <c r="J19" s="351"/>
      <c r="K19" s="571"/>
      <c r="L19" s="351"/>
      <c r="M19" s="571"/>
      <c r="N19" s="352">
        <f>SUM(I19:M19)</f>
        <v>0</v>
      </c>
      <c r="O19" s="1473"/>
      <c r="P19" s="1473"/>
      <c r="Q19" s="353">
        <f>O19*N19</f>
        <v>0</v>
      </c>
      <c r="R19" s="354"/>
    </row>
    <row r="20" spans="1:30" s="5" customFormat="1" ht="13.5" thickBot="1" x14ac:dyDescent="0.25">
      <c r="A20" s="200"/>
      <c r="B20" s="1448" t="s">
        <v>207</v>
      </c>
      <c r="C20" s="1448"/>
      <c r="D20" s="1448"/>
      <c r="E20" s="1448"/>
      <c r="F20" s="1448"/>
      <c r="G20" s="1448"/>
      <c r="H20" s="1448"/>
      <c r="I20" s="1448"/>
      <c r="J20" s="355"/>
      <c r="K20" s="355"/>
      <c r="L20" s="355"/>
      <c r="M20" s="355"/>
      <c r="N20" s="356">
        <f>SUM(N12:N19)</f>
        <v>0</v>
      </c>
      <c r="O20" s="355"/>
      <c r="P20" s="355"/>
      <c r="Q20" s="565">
        <f>SUM(Q12:Q19)</f>
        <v>0</v>
      </c>
      <c r="R20" s="357"/>
    </row>
  </sheetData>
  <mergeCells count="47">
    <mergeCell ref="Y10:Z10"/>
    <mergeCell ref="B1:R3"/>
    <mergeCell ref="E7:F7"/>
    <mergeCell ref="E8:F8"/>
    <mergeCell ref="J8:K8"/>
    <mergeCell ref="E4:F4"/>
    <mergeCell ref="E5:F5"/>
    <mergeCell ref="E6:F6"/>
    <mergeCell ref="S4:T4"/>
    <mergeCell ref="S5:T5"/>
    <mergeCell ref="S6:T6"/>
    <mergeCell ref="C4:D4"/>
    <mergeCell ref="C5:D5"/>
    <mergeCell ref="C6:D6"/>
    <mergeCell ref="U7:V7"/>
    <mergeCell ref="U9:V9"/>
    <mergeCell ref="G7:K7"/>
    <mergeCell ref="N5:O6"/>
    <mergeCell ref="Q5:R5"/>
    <mergeCell ref="D15:F15"/>
    <mergeCell ref="O15:P15"/>
    <mergeCell ref="D11:F11"/>
    <mergeCell ref="Q9:R9"/>
    <mergeCell ref="Q8:R8"/>
    <mergeCell ref="O8:P8"/>
    <mergeCell ref="O9:P9"/>
    <mergeCell ref="Q4:R4"/>
    <mergeCell ref="Q6:R6"/>
    <mergeCell ref="G5:K5"/>
    <mergeCell ref="G4:K4"/>
    <mergeCell ref="G6:K6"/>
    <mergeCell ref="A12:A14"/>
    <mergeCell ref="B20:I20"/>
    <mergeCell ref="D12:F12"/>
    <mergeCell ref="O12:P12"/>
    <mergeCell ref="D13:F13"/>
    <mergeCell ref="O13:P13"/>
    <mergeCell ref="D17:F17"/>
    <mergeCell ref="O17:P17"/>
    <mergeCell ref="O18:P18"/>
    <mergeCell ref="D18:F18"/>
    <mergeCell ref="O14:P14"/>
    <mergeCell ref="D14:F14"/>
    <mergeCell ref="D19:F19"/>
    <mergeCell ref="O19:P19"/>
    <mergeCell ref="D16:F16"/>
    <mergeCell ref="O16:P16"/>
  </mergeCells>
  <dataValidations count="1">
    <dataValidation type="list" allowBlank="1" showInputMessage="1" showErrorMessage="1" sqref="AA9" xr:uid="{00000000-0002-0000-0700-000000000000}">
      <formula1>#REF!</formula1>
    </dataValidation>
  </dataValidations>
  <pageMargins left="0.25" right="0.25" top="0.75" bottom="0.75" header="0.3" footer="0.3"/>
  <pageSetup scale="5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IW56"/>
  <sheetViews>
    <sheetView showGridLines="0" zoomScale="80" zoomScaleNormal="80" workbookViewId="0">
      <pane xSplit="5" ySplit="11" topLeftCell="F12" activePane="bottomRight" state="frozen"/>
      <selection pane="topRight" activeCell="F1" sqref="F1"/>
      <selection pane="bottomLeft" activeCell="A12" sqref="A12"/>
      <selection pane="bottomRight" activeCell="K26" sqref="K26"/>
    </sheetView>
  </sheetViews>
  <sheetFormatPr defaultRowHeight="12.75" x14ac:dyDescent="0.2"/>
  <cols>
    <col min="1" max="1" width="18.28515625" style="41" customWidth="1"/>
    <col min="2" max="2" width="15.7109375" customWidth="1"/>
    <col min="3" max="3" width="12.140625" customWidth="1"/>
    <col min="5" max="5" width="25.42578125" customWidth="1"/>
    <col min="7" max="7" width="9" customWidth="1"/>
    <col min="23" max="23" width="10.140625" customWidth="1"/>
    <col min="25" max="25" width="15" customWidth="1"/>
    <col min="26" max="26" width="34.7109375" bestFit="1" customWidth="1"/>
  </cols>
  <sheetData>
    <row r="1" spans="1:257" s="133" customFormat="1" ht="18" x14ac:dyDescent="0.25">
      <c r="A1" s="27"/>
      <c r="B1" s="1515" t="str">
        <f>'NEW SHOES'!E1</f>
        <v>FALL 2026 PROGRAM NEW SHOES</v>
      </c>
      <c r="C1" s="1516"/>
      <c r="D1" s="1516"/>
      <c r="E1" s="1516"/>
      <c r="F1" s="1516"/>
      <c r="G1" s="1516"/>
      <c r="H1" s="1516"/>
      <c r="I1" s="1516"/>
      <c r="J1" s="1516"/>
      <c r="K1" s="1516"/>
      <c r="L1" s="1516"/>
      <c r="M1" s="1516"/>
      <c r="N1" s="1516"/>
      <c r="O1" s="1516"/>
      <c r="P1" s="1516"/>
      <c r="Q1" s="1516"/>
      <c r="R1" s="1517"/>
      <c r="S1" s="5"/>
      <c r="T1" s="5"/>
    </row>
    <row r="2" spans="1:257" s="133" customFormat="1" ht="18.95" customHeight="1" x14ac:dyDescent="0.25">
      <c r="A2" s="27"/>
      <c r="B2" s="1518"/>
      <c r="C2" s="1519"/>
      <c r="D2" s="1519"/>
      <c r="E2" s="1519"/>
      <c r="F2" s="1519"/>
      <c r="G2" s="1519"/>
      <c r="H2" s="1519"/>
      <c r="I2" s="1519"/>
      <c r="J2" s="1519"/>
      <c r="K2" s="1519"/>
      <c r="L2" s="1519"/>
      <c r="M2" s="1519"/>
      <c r="N2" s="1519"/>
      <c r="O2" s="1519"/>
      <c r="P2" s="1519"/>
      <c r="Q2" s="1519"/>
      <c r="R2" s="1520"/>
      <c r="S2" s="5"/>
      <c r="T2" s="264"/>
      <c r="U2" s="134"/>
      <c r="V2" s="134"/>
      <c r="W2" s="134"/>
      <c r="X2" s="134"/>
      <c r="Y2" s="201"/>
      <c r="Z2" s="201"/>
      <c r="AA2" s="135"/>
    </row>
    <row r="3" spans="1:257" s="133" customFormat="1" ht="6" customHeight="1" thickBot="1" x14ac:dyDescent="0.3">
      <c r="A3" s="27"/>
      <c r="B3" s="1521"/>
      <c r="C3" s="1522"/>
      <c r="D3" s="1522"/>
      <c r="E3" s="1522"/>
      <c r="F3" s="1522"/>
      <c r="G3" s="1522"/>
      <c r="H3" s="1522"/>
      <c r="I3" s="1522"/>
      <c r="J3" s="1522"/>
      <c r="K3" s="1522"/>
      <c r="L3" s="1522"/>
      <c r="M3" s="1522"/>
      <c r="N3" s="1522"/>
      <c r="O3" s="1522"/>
      <c r="P3" s="1522"/>
      <c r="Q3" s="1522"/>
      <c r="R3" s="1523"/>
      <c r="S3" s="5"/>
      <c r="T3" s="5"/>
      <c r="U3" s="136"/>
      <c r="V3" s="134"/>
      <c r="W3" s="134"/>
      <c r="X3" s="134"/>
      <c r="Z3" s="136"/>
      <c r="AA3" s="135"/>
      <c r="AB3" s="137"/>
    </row>
    <row r="4" spans="1:257" s="133" customFormat="1" ht="18" customHeight="1" thickBot="1" x14ac:dyDescent="0.3">
      <c r="A4" s="27"/>
      <c r="B4" s="224" t="s">
        <v>5</v>
      </c>
      <c r="C4" s="1526">
        <f>'NEW SHOES'!F4</f>
        <v>0</v>
      </c>
      <c r="D4" s="1527"/>
      <c r="E4" s="1309" t="s">
        <v>6</v>
      </c>
      <c r="F4" s="1154"/>
      <c r="G4" s="1524">
        <f>'NEW SHOES'!P4</f>
        <v>0</v>
      </c>
      <c r="H4" s="1525"/>
      <c r="I4" s="1525"/>
      <c r="J4" s="1525"/>
      <c r="K4" s="1525"/>
      <c r="L4" s="1525"/>
      <c r="M4" s="5"/>
      <c r="N4" s="23"/>
      <c r="O4" s="23"/>
      <c r="P4" s="1153"/>
      <c r="Q4" s="1153"/>
      <c r="R4" s="1153"/>
      <c r="S4" s="1492"/>
      <c r="T4" s="1492"/>
      <c r="U4" s="176"/>
      <c r="V4" s="39"/>
      <c r="W4" s="137"/>
    </row>
    <row r="5" spans="1:257" s="133" customFormat="1" ht="18" customHeight="1" thickBot="1" x14ac:dyDescent="0.3">
      <c r="A5" s="27"/>
      <c r="B5" s="224" t="s">
        <v>12</v>
      </c>
      <c r="C5" s="1528">
        <f>'NEW SHOES'!F5</f>
        <v>0</v>
      </c>
      <c r="D5" s="1393"/>
      <c r="E5" s="1309" t="s">
        <v>13</v>
      </c>
      <c r="F5" s="1154"/>
      <c r="G5" s="1365">
        <f>'NEW SHOES'!P5</f>
        <v>0</v>
      </c>
      <c r="H5" s="1366"/>
      <c r="I5" s="1366"/>
      <c r="J5" s="1366"/>
      <c r="K5" s="1366"/>
      <c r="L5" s="1393"/>
      <c r="M5" s="61" t="str">
        <f>'NEW SHOES'!W4</f>
        <v>NO</v>
      </c>
      <c r="N5" s="1137" t="s">
        <v>74</v>
      </c>
      <c r="O5" s="1424"/>
      <c r="P5" s="1182" t="s">
        <v>163</v>
      </c>
      <c r="Q5" s="1493"/>
      <c r="R5" s="1183"/>
      <c r="S5" s="1491">
        <f>X19</f>
        <v>10</v>
      </c>
      <c r="T5" s="1350"/>
      <c r="U5" s="177"/>
      <c r="V5" s="39"/>
      <c r="W5" s="137"/>
    </row>
    <row r="6" spans="1:257" s="133" customFormat="1" ht="18" customHeight="1" thickBot="1" x14ac:dyDescent="0.3">
      <c r="A6" s="27"/>
      <c r="B6" s="225" t="s">
        <v>18</v>
      </c>
      <c r="C6" s="1529" t="str">
        <f>'NEW SHOES'!F6</f>
        <v xml:space="preserve">F26 A </v>
      </c>
      <c r="D6" s="1415"/>
      <c r="E6" s="1309" t="s">
        <v>77</v>
      </c>
      <c r="F6" s="1154"/>
      <c r="G6" s="1365">
        <f>'NEW SHOES'!P6</f>
        <v>0</v>
      </c>
      <c r="H6" s="1366"/>
      <c r="I6" s="1366"/>
      <c r="J6" s="1366"/>
      <c r="K6" s="1366"/>
      <c r="L6" s="1393"/>
      <c r="M6" s="45"/>
      <c r="N6" s="1199"/>
      <c r="O6" s="1425"/>
      <c r="P6" s="1182" t="s">
        <v>91</v>
      </c>
      <c r="Q6" s="1493"/>
      <c r="R6" s="1183"/>
      <c r="S6" s="1310">
        <f>Y19</f>
        <v>575</v>
      </c>
      <c r="T6" s="1311"/>
      <c r="U6" s="173"/>
      <c r="V6" s="39"/>
      <c r="W6" s="137"/>
    </row>
    <row r="7" spans="1:257" s="133" customFormat="1" ht="18" customHeight="1" thickBot="1" x14ac:dyDescent="0.3">
      <c r="A7" s="27"/>
      <c r="B7" s="8"/>
      <c r="C7" s="62"/>
      <c r="D7" s="45"/>
      <c r="E7" s="1309" t="s">
        <v>24</v>
      </c>
      <c r="F7" s="1154"/>
      <c r="G7" s="1365">
        <f>'NEW SHOES'!P7</f>
        <v>0</v>
      </c>
      <c r="H7" s="1366"/>
      <c r="I7" s="1366"/>
      <c r="J7" s="1366"/>
      <c r="K7" s="1366"/>
      <c r="L7" s="1393"/>
      <c r="M7" s="45"/>
      <c r="N7" s="24"/>
      <c r="O7" s="24"/>
      <c r="P7" s="2"/>
      <c r="Q7" s="24"/>
      <c r="R7" s="24"/>
      <c r="S7" s="2"/>
      <c r="T7" s="16"/>
      <c r="U7" s="1500"/>
      <c r="V7" s="1500"/>
      <c r="W7" s="137"/>
    </row>
    <row r="8" spans="1:257" s="133" customFormat="1" ht="18" customHeight="1" thickBot="1" x14ac:dyDescent="0.35">
      <c r="A8" s="1509" t="s">
        <v>301</v>
      </c>
      <c r="B8" s="1510"/>
      <c r="C8" s="557"/>
      <c r="D8" s="39"/>
      <c r="E8" s="1178" t="s">
        <v>30</v>
      </c>
      <c r="F8" s="1122"/>
      <c r="G8" s="274">
        <f>'NEW SHOES'!P8</f>
        <v>0</v>
      </c>
      <c r="H8" s="275"/>
      <c r="I8" s="1196" t="s">
        <v>31</v>
      </c>
      <c r="J8" s="1494"/>
      <c r="K8" s="1419">
        <f>'NEW SHOES'!U8</f>
        <v>0</v>
      </c>
      <c r="L8" s="1222"/>
      <c r="M8" s="25"/>
      <c r="N8" s="25"/>
      <c r="O8" s="24"/>
      <c r="P8" s="1176" t="s">
        <v>103</v>
      </c>
      <c r="Q8" s="1177"/>
      <c r="R8" s="1502">
        <f>'NEW SHOES'!AG7</f>
        <v>0</v>
      </c>
      <c r="S8" s="1503"/>
      <c r="T8" s="1504"/>
      <c r="U8" s="174"/>
      <c r="V8" s="174"/>
      <c r="W8" s="140"/>
    </row>
    <row r="9" spans="1:257" s="133" customFormat="1" ht="18.75" customHeight="1" thickBot="1" x14ac:dyDescent="0.35">
      <c r="A9" s="1511"/>
      <c r="B9" s="1512"/>
      <c r="C9" s="557"/>
      <c r="D9" s="175"/>
      <c r="E9" s="7"/>
      <c r="F9" s="1508" t="s">
        <v>303</v>
      </c>
      <c r="G9" s="1508"/>
      <c r="H9" s="1508"/>
      <c r="I9" s="1508"/>
      <c r="J9" s="1508"/>
      <c r="K9" s="1508"/>
      <c r="L9" s="1508"/>
      <c r="M9" s="1508"/>
      <c r="N9" s="7"/>
      <c r="O9" s="7"/>
      <c r="P9" s="1501" t="s">
        <v>104</v>
      </c>
      <c r="Q9" s="1197"/>
      <c r="R9" s="1505">
        <f>'NEW SHOES'!AG9</f>
        <v>0</v>
      </c>
      <c r="S9" s="1506"/>
      <c r="T9" s="1507"/>
      <c r="U9" s="1500"/>
      <c r="V9" s="1500"/>
      <c r="W9" s="138"/>
      <c r="X9" s="138"/>
      <c r="Y9" s="138"/>
      <c r="Z9" s="141"/>
      <c r="AA9" s="138"/>
      <c r="AB9" s="142"/>
    </row>
    <row r="10" spans="1:257" s="133" customFormat="1" ht="12" customHeight="1" thickBot="1" x14ac:dyDescent="0.3">
      <c r="A10" s="1513"/>
      <c r="B10" s="1514"/>
      <c r="C10" s="272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272"/>
      <c r="Q10" s="272"/>
      <c r="R10" s="144"/>
      <c r="S10" s="138"/>
      <c r="T10" s="138"/>
      <c r="U10" s="138"/>
      <c r="Y10" s="139"/>
      <c r="Z10" s="141"/>
      <c r="AA10" s="137"/>
      <c r="AB10" s="145"/>
    </row>
    <row r="11" spans="1:257" s="146" customFormat="1" ht="19.5" thickTop="1" thickBot="1" x14ac:dyDescent="0.3">
      <c r="A11" s="728"/>
      <c r="B11" s="733" t="s">
        <v>105</v>
      </c>
      <c r="C11" s="257" t="s">
        <v>106</v>
      </c>
      <c r="D11" s="1498" t="s">
        <v>107</v>
      </c>
      <c r="E11" s="1499"/>
      <c r="F11" s="734" t="s">
        <v>40</v>
      </c>
      <c r="G11" s="735" t="s">
        <v>164</v>
      </c>
      <c r="H11" s="736" t="s">
        <v>165</v>
      </c>
      <c r="I11" s="736" t="s">
        <v>166</v>
      </c>
      <c r="J11" s="258" t="s">
        <v>167</v>
      </c>
      <c r="K11" s="258" t="s">
        <v>168</v>
      </c>
      <c r="L11" s="259" t="s">
        <v>169</v>
      </c>
      <c r="M11" s="258" t="s">
        <v>170</v>
      </c>
      <c r="N11" s="259" t="s">
        <v>171</v>
      </c>
      <c r="O11" s="259" t="s">
        <v>172</v>
      </c>
      <c r="P11" s="259" t="s">
        <v>173</v>
      </c>
      <c r="Q11" s="259" t="s">
        <v>174</v>
      </c>
      <c r="R11" s="259" t="s">
        <v>175</v>
      </c>
      <c r="S11" s="259" t="s">
        <v>176</v>
      </c>
      <c r="T11" s="260" t="s">
        <v>177</v>
      </c>
      <c r="U11" s="260" t="s">
        <v>178</v>
      </c>
      <c r="V11" s="260" t="s">
        <v>179</v>
      </c>
      <c r="W11" s="261" t="s">
        <v>108</v>
      </c>
      <c r="X11" s="259" t="s">
        <v>180</v>
      </c>
      <c r="Y11" s="262" t="s">
        <v>94</v>
      </c>
      <c r="Z11" s="263" t="s">
        <v>112</v>
      </c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3"/>
      <c r="BH11" s="133"/>
      <c r="BI11" s="133"/>
      <c r="BJ11" s="133"/>
      <c r="BK11" s="133"/>
      <c r="BL11" s="133"/>
      <c r="BM11" s="133"/>
      <c r="BN11" s="133"/>
      <c r="BO11" s="133"/>
      <c r="BP11" s="133"/>
      <c r="BQ11" s="133"/>
      <c r="BR11" s="133"/>
      <c r="BS11" s="133"/>
      <c r="BT11" s="133"/>
      <c r="BU11" s="133"/>
      <c r="BV11" s="133"/>
      <c r="BW11" s="133"/>
      <c r="BX11" s="133"/>
      <c r="BY11" s="133"/>
      <c r="BZ11" s="133"/>
      <c r="CA11" s="133"/>
      <c r="CB11" s="133"/>
      <c r="CC11" s="133"/>
      <c r="CD11" s="133"/>
      <c r="CE11" s="133"/>
      <c r="CF11" s="133"/>
      <c r="CG11" s="133"/>
      <c r="CH11" s="133"/>
      <c r="CI11" s="133"/>
      <c r="CJ11" s="133"/>
      <c r="CK11" s="133"/>
      <c r="CL11" s="133"/>
      <c r="CM11" s="133"/>
      <c r="CN11" s="133"/>
      <c r="CO11" s="133"/>
      <c r="CP11" s="133"/>
      <c r="CQ11" s="133"/>
      <c r="CR11" s="133"/>
      <c r="CS11" s="133"/>
      <c r="CT11" s="133"/>
      <c r="CU11" s="133"/>
      <c r="CV11" s="133"/>
      <c r="CW11" s="133"/>
      <c r="CX11" s="133"/>
      <c r="CY11" s="133"/>
      <c r="CZ11" s="133"/>
      <c r="DA11" s="133"/>
      <c r="DB11" s="133"/>
      <c r="DC11" s="133"/>
      <c r="DD11" s="133"/>
      <c r="DE11" s="133"/>
      <c r="DF11" s="133"/>
      <c r="DG11" s="133"/>
      <c r="DH11" s="133"/>
      <c r="DI11" s="133"/>
      <c r="DJ11" s="133"/>
      <c r="DK11" s="133"/>
      <c r="DL11" s="133"/>
      <c r="DM11" s="133"/>
      <c r="DN11" s="133"/>
      <c r="DO11" s="133"/>
      <c r="DP11" s="133"/>
      <c r="DQ11" s="133"/>
      <c r="DR11" s="133"/>
      <c r="DS11" s="133"/>
      <c r="DT11" s="133"/>
      <c r="DU11" s="133"/>
      <c r="DV11" s="133"/>
      <c r="DW11" s="133"/>
      <c r="DX11" s="133"/>
      <c r="DY11" s="133"/>
      <c r="DZ11" s="133"/>
      <c r="EA11" s="133"/>
      <c r="EB11" s="133"/>
      <c r="EC11" s="133"/>
      <c r="ED11" s="133"/>
      <c r="EE11" s="133"/>
      <c r="EF11" s="133"/>
      <c r="EG11" s="133"/>
      <c r="EH11" s="133"/>
      <c r="EI11" s="133"/>
      <c r="EJ11" s="133"/>
      <c r="EK11" s="133"/>
      <c r="EL11" s="133"/>
      <c r="EM11" s="133"/>
      <c r="EN11" s="133"/>
      <c r="EO11" s="133"/>
      <c r="EP11" s="133"/>
      <c r="EQ11" s="133"/>
      <c r="ER11" s="133"/>
      <c r="ES11" s="133"/>
      <c r="ET11" s="133"/>
      <c r="EU11" s="133"/>
      <c r="EV11" s="133"/>
      <c r="EW11" s="133"/>
      <c r="EX11" s="133"/>
      <c r="EY11" s="133"/>
      <c r="EZ11" s="133"/>
      <c r="FA11" s="133"/>
      <c r="FB11" s="133"/>
      <c r="FC11" s="133"/>
      <c r="FD11" s="133"/>
      <c r="FE11" s="133"/>
      <c r="FF11" s="133"/>
      <c r="FG11" s="133"/>
      <c r="FH11" s="133"/>
      <c r="FI11" s="133"/>
      <c r="FJ11" s="133"/>
      <c r="FK11" s="133"/>
      <c r="FL11" s="133"/>
      <c r="FM11" s="133"/>
      <c r="FN11" s="133"/>
      <c r="FO11" s="133"/>
      <c r="FP11" s="133"/>
      <c r="FQ11" s="133"/>
      <c r="FR11" s="133"/>
      <c r="FS11" s="133"/>
      <c r="FT11" s="133"/>
      <c r="FU11" s="133"/>
      <c r="FV11" s="133"/>
      <c r="FW11" s="133"/>
      <c r="FX11" s="133"/>
      <c r="FY11" s="133"/>
      <c r="FZ11" s="133"/>
      <c r="GA11" s="133"/>
      <c r="GB11" s="133"/>
      <c r="GC11" s="133"/>
      <c r="GD11" s="133"/>
      <c r="GE11" s="133"/>
      <c r="GF11" s="133"/>
      <c r="GG11" s="133"/>
      <c r="GH11" s="133"/>
      <c r="GI11" s="133"/>
      <c r="GJ11" s="133"/>
      <c r="GK11" s="133"/>
      <c r="GL11" s="133"/>
      <c r="GM11" s="133"/>
      <c r="GN11" s="133"/>
      <c r="GO11" s="133"/>
      <c r="GP11" s="133"/>
      <c r="GQ11" s="133"/>
      <c r="GR11" s="133"/>
      <c r="GS11" s="133"/>
      <c r="GT11" s="133"/>
      <c r="GU11" s="133"/>
      <c r="GV11" s="133"/>
      <c r="GW11" s="133"/>
      <c r="GX11" s="133"/>
      <c r="GY11" s="133"/>
      <c r="GZ11" s="133"/>
      <c r="HA11" s="133"/>
      <c r="HB11" s="133"/>
      <c r="HC11" s="133"/>
      <c r="HD11" s="133"/>
      <c r="HE11" s="133"/>
      <c r="HF11" s="133"/>
      <c r="HG11" s="133"/>
      <c r="HH11" s="133"/>
      <c r="HI11" s="133"/>
      <c r="HJ11" s="133"/>
      <c r="HK11" s="133"/>
      <c r="HL11" s="133"/>
      <c r="HM11" s="133"/>
      <c r="HN11" s="133"/>
      <c r="HO11" s="133"/>
      <c r="HP11" s="133"/>
      <c r="HQ11" s="133"/>
      <c r="HR11" s="133"/>
      <c r="HS11" s="133"/>
      <c r="HT11" s="133"/>
      <c r="HU11" s="133"/>
      <c r="HV11" s="133"/>
      <c r="HW11" s="133"/>
      <c r="HX11" s="133"/>
      <c r="HY11" s="133"/>
      <c r="HZ11" s="133"/>
      <c r="IA11" s="133"/>
      <c r="IB11" s="133"/>
      <c r="IC11" s="133"/>
      <c r="ID11" s="133"/>
      <c r="IE11" s="133"/>
      <c r="IF11" s="133"/>
      <c r="IG11" s="133"/>
      <c r="IH11" s="133"/>
      <c r="II11" s="133"/>
      <c r="IJ11" s="133"/>
      <c r="IK11" s="133"/>
      <c r="IL11" s="133"/>
      <c r="IM11" s="133"/>
      <c r="IN11" s="133"/>
      <c r="IO11" s="133"/>
      <c r="IP11" s="133"/>
      <c r="IQ11" s="133"/>
      <c r="IR11" s="133"/>
      <c r="IS11" s="133"/>
      <c r="IT11" s="133"/>
      <c r="IU11" s="133"/>
      <c r="IV11" s="133"/>
      <c r="IW11" s="133"/>
    </row>
    <row r="12" spans="1:257" ht="18.75" thickBot="1" x14ac:dyDescent="0.3">
      <c r="A12" s="665" t="s">
        <v>181</v>
      </c>
      <c r="B12" s="964" t="s">
        <v>291</v>
      </c>
      <c r="C12" s="965">
        <v>97540</v>
      </c>
      <c r="D12" s="1495" t="s">
        <v>236</v>
      </c>
      <c r="E12" s="1495"/>
      <c r="F12" s="966" t="s">
        <v>10</v>
      </c>
      <c r="G12" s="729"/>
      <c r="H12" s="957">
        <v>1</v>
      </c>
      <c r="I12" s="957">
        <v>1</v>
      </c>
      <c r="J12" s="957">
        <v>1</v>
      </c>
      <c r="K12" s="256"/>
      <c r="L12" s="957">
        <v>1</v>
      </c>
      <c r="M12" s="256"/>
      <c r="N12" s="958">
        <v>1</v>
      </c>
      <c r="O12" s="256"/>
      <c r="P12" s="958">
        <v>1</v>
      </c>
      <c r="Q12" s="256"/>
      <c r="R12" s="957">
        <v>1</v>
      </c>
      <c r="S12" s="958">
        <v>1</v>
      </c>
      <c r="T12" s="958">
        <v>1</v>
      </c>
      <c r="U12" s="958">
        <v>1</v>
      </c>
      <c r="V12" s="256"/>
      <c r="W12" s="959">
        <v>57.5</v>
      </c>
      <c r="X12" s="960">
        <f t="shared" ref="X12:X18" si="0">SUM(G12:V12)</f>
        <v>10</v>
      </c>
      <c r="Y12" s="961">
        <f t="shared" ref="Y12:Y18" si="1">X12*W12</f>
        <v>575</v>
      </c>
      <c r="Z12" s="666"/>
      <c r="AA12" s="667"/>
    </row>
    <row r="13" spans="1:257" ht="18.75" thickBot="1" x14ac:dyDescent="0.3">
      <c r="A13" s="665"/>
      <c r="B13" s="967"/>
      <c r="C13" s="968">
        <v>97528</v>
      </c>
      <c r="D13" s="1496" t="s">
        <v>236</v>
      </c>
      <c r="E13" s="1496"/>
      <c r="F13" s="969" t="s">
        <v>10</v>
      </c>
      <c r="G13" s="730"/>
      <c r="H13" s="575"/>
      <c r="I13" s="575"/>
      <c r="J13" s="575"/>
      <c r="K13" s="205"/>
      <c r="L13" s="575"/>
      <c r="M13" s="205"/>
      <c r="N13" s="573"/>
      <c r="O13" s="205"/>
      <c r="P13" s="573"/>
      <c r="Q13" s="205"/>
      <c r="R13" s="575"/>
      <c r="S13" s="573"/>
      <c r="T13" s="573"/>
      <c r="U13" s="573"/>
      <c r="V13" s="205"/>
      <c r="W13" s="673">
        <v>55</v>
      </c>
      <c r="X13" s="962">
        <f t="shared" ref="X13" si="2">SUM(G13:V13)</f>
        <v>0</v>
      </c>
      <c r="Y13" s="963">
        <f t="shared" ref="Y13" si="3">X13*W13</f>
        <v>0</v>
      </c>
      <c r="Z13" s="671"/>
      <c r="AA13" s="667"/>
    </row>
    <row r="14" spans="1:257" ht="18" x14ac:dyDescent="0.25">
      <c r="A14" s="668"/>
      <c r="B14" s="970"/>
      <c r="C14" s="968">
        <v>97529</v>
      </c>
      <c r="D14" s="1496" t="s">
        <v>237</v>
      </c>
      <c r="E14" s="1496"/>
      <c r="F14" s="969" t="s">
        <v>10</v>
      </c>
      <c r="G14" s="730"/>
      <c r="H14" s="574"/>
      <c r="I14" s="574"/>
      <c r="J14" s="574"/>
      <c r="K14" s="205"/>
      <c r="L14" s="574"/>
      <c r="M14" s="205"/>
      <c r="N14" s="572"/>
      <c r="O14" s="205"/>
      <c r="P14" s="572"/>
      <c r="Q14" s="205"/>
      <c r="R14" s="574"/>
      <c r="S14" s="572"/>
      <c r="T14" s="572"/>
      <c r="U14" s="572"/>
      <c r="V14" s="205"/>
      <c r="W14" s="669">
        <v>55</v>
      </c>
      <c r="X14" s="326">
        <f t="shared" si="0"/>
        <v>0</v>
      </c>
      <c r="Y14" s="670">
        <f t="shared" si="1"/>
        <v>0</v>
      </c>
      <c r="Z14" s="671"/>
      <c r="AA14" s="667"/>
    </row>
    <row r="15" spans="1:257" ht="18" x14ac:dyDescent="0.25">
      <c r="A15" s="672"/>
      <c r="B15" s="970"/>
      <c r="C15" s="968">
        <v>97530</v>
      </c>
      <c r="D15" s="1496" t="s">
        <v>238</v>
      </c>
      <c r="E15" s="1496"/>
      <c r="F15" s="969" t="s">
        <v>10</v>
      </c>
      <c r="G15" s="731"/>
      <c r="H15" s="573"/>
      <c r="I15" s="573"/>
      <c r="J15" s="575"/>
      <c r="K15" s="205"/>
      <c r="L15" s="575"/>
      <c r="M15" s="205"/>
      <c r="N15" s="573"/>
      <c r="O15" s="205"/>
      <c r="P15" s="573"/>
      <c r="Q15" s="205"/>
      <c r="R15" s="325"/>
      <c r="S15" s="325"/>
      <c r="T15" s="325"/>
      <c r="U15" s="325"/>
      <c r="V15" s="325"/>
      <c r="W15" s="673">
        <v>55</v>
      </c>
      <c r="X15" s="327">
        <f t="shared" si="0"/>
        <v>0</v>
      </c>
      <c r="Y15" s="674">
        <f t="shared" si="1"/>
        <v>0</v>
      </c>
      <c r="Z15" s="671"/>
      <c r="AA15" s="667"/>
    </row>
    <row r="16" spans="1:257" ht="18" x14ac:dyDescent="0.25">
      <c r="A16" s="672"/>
      <c r="B16" s="970"/>
      <c r="C16" s="968">
        <v>97531</v>
      </c>
      <c r="D16" s="1496" t="s">
        <v>239</v>
      </c>
      <c r="E16" s="1496"/>
      <c r="F16" s="969" t="s">
        <v>10</v>
      </c>
      <c r="G16" s="732"/>
      <c r="H16" s="572"/>
      <c r="I16" s="572"/>
      <c r="J16" s="574"/>
      <c r="K16" s="205"/>
      <c r="L16" s="574"/>
      <c r="M16" s="205"/>
      <c r="N16" s="572"/>
      <c r="O16" s="205"/>
      <c r="P16" s="572"/>
      <c r="Q16" s="205"/>
      <c r="R16" s="325"/>
      <c r="S16" s="325"/>
      <c r="T16" s="325"/>
      <c r="U16" s="325"/>
      <c r="V16" s="325"/>
      <c r="W16" s="669">
        <v>55</v>
      </c>
      <c r="X16" s="326">
        <f t="shared" si="0"/>
        <v>0</v>
      </c>
      <c r="Y16" s="670">
        <f t="shared" si="1"/>
        <v>0</v>
      </c>
      <c r="Z16" s="671"/>
      <c r="AA16" s="667"/>
    </row>
    <row r="17" spans="1:27" ht="18" hidden="1" x14ac:dyDescent="0.25">
      <c r="A17" s="672"/>
      <c r="B17" s="970"/>
      <c r="C17" s="968">
        <v>97532</v>
      </c>
      <c r="D17" s="1496" t="s">
        <v>240</v>
      </c>
      <c r="E17" s="1496"/>
      <c r="F17" s="969" t="s">
        <v>10</v>
      </c>
      <c r="G17" s="730"/>
      <c r="H17" s="575"/>
      <c r="I17" s="575"/>
      <c r="J17" s="575"/>
      <c r="K17" s="205"/>
      <c r="L17" s="575"/>
      <c r="M17" s="205"/>
      <c r="N17" s="573"/>
      <c r="O17" s="205"/>
      <c r="P17" s="573"/>
      <c r="Q17" s="205"/>
      <c r="R17" s="575"/>
      <c r="S17" s="573"/>
      <c r="T17" s="573"/>
      <c r="U17" s="573"/>
      <c r="V17" s="205"/>
      <c r="W17" s="673">
        <v>55</v>
      </c>
      <c r="X17" s="327">
        <f t="shared" si="0"/>
        <v>0</v>
      </c>
      <c r="Y17" s="674">
        <f t="shared" si="1"/>
        <v>0</v>
      </c>
      <c r="Z17" s="671"/>
      <c r="AA17" s="667"/>
    </row>
    <row r="18" spans="1:27" ht="18.75" hidden="1" thickBot="1" x14ac:dyDescent="0.3">
      <c r="A18" s="672"/>
      <c r="B18" s="971"/>
      <c r="C18" s="972">
        <v>97533</v>
      </c>
      <c r="D18" s="1497" t="s">
        <v>241</v>
      </c>
      <c r="E18" s="1497"/>
      <c r="F18" s="973" t="s">
        <v>10</v>
      </c>
      <c r="G18" s="730"/>
      <c r="H18" s="574"/>
      <c r="I18" s="574"/>
      <c r="J18" s="574"/>
      <c r="K18" s="205"/>
      <c r="L18" s="574"/>
      <c r="M18" s="205"/>
      <c r="N18" s="572"/>
      <c r="O18" s="205"/>
      <c r="P18" s="572"/>
      <c r="Q18" s="205"/>
      <c r="R18" s="574"/>
      <c r="S18" s="572"/>
      <c r="T18" s="572"/>
      <c r="U18" s="572"/>
      <c r="V18" s="205"/>
      <c r="W18" s="669">
        <v>55</v>
      </c>
      <c r="X18" s="326">
        <f t="shared" si="0"/>
        <v>0</v>
      </c>
      <c r="Y18" s="670">
        <f t="shared" si="1"/>
        <v>0</v>
      </c>
      <c r="Z18" s="671"/>
      <c r="AA18" s="306"/>
    </row>
    <row r="19" spans="1:27" ht="18.75" thickBot="1" x14ac:dyDescent="0.3">
      <c r="A19" s="675"/>
      <c r="B19" s="676"/>
      <c r="C19" s="1489" t="s">
        <v>182</v>
      </c>
      <c r="D19" s="1490"/>
      <c r="E19" s="677"/>
      <c r="F19" s="676"/>
      <c r="G19" s="678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80"/>
      <c r="W19" s="679"/>
      <c r="X19" s="681">
        <f>SUM(X12:X18)</f>
        <v>10</v>
      </c>
      <c r="Y19" s="682">
        <f>SUM(Y12:Y18)</f>
        <v>575</v>
      </c>
      <c r="Z19" s="683"/>
    </row>
    <row r="20" spans="1:27" x14ac:dyDescent="0.2">
      <c r="Q20" s="71"/>
    </row>
    <row r="21" spans="1:27" x14ac:dyDescent="0.2">
      <c r="Q21" s="71"/>
    </row>
    <row r="22" spans="1:27" x14ac:dyDescent="0.2">
      <c r="Q22" s="71"/>
    </row>
    <row r="23" spans="1:27" x14ac:dyDescent="0.2">
      <c r="Q23" s="71"/>
    </row>
    <row r="24" spans="1:27" x14ac:dyDescent="0.2">
      <c r="Q24" s="71"/>
    </row>
    <row r="25" spans="1:27" x14ac:dyDescent="0.2">
      <c r="Q25" s="71"/>
    </row>
    <row r="26" spans="1:27" x14ac:dyDescent="0.2">
      <c r="Q26" s="71"/>
    </row>
    <row r="27" spans="1:27" x14ac:dyDescent="0.2">
      <c r="Q27" s="71"/>
    </row>
    <row r="28" spans="1:27" x14ac:dyDescent="0.2">
      <c r="Q28" s="71"/>
    </row>
    <row r="29" spans="1:27" x14ac:dyDescent="0.2">
      <c r="Q29" s="71"/>
    </row>
    <row r="30" spans="1:27" x14ac:dyDescent="0.2">
      <c r="Q30" s="71"/>
    </row>
    <row r="31" spans="1:27" x14ac:dyDescent="0.2">
      <c r="Q31" s="71"/>
    </row>
    <row r="32" spans="1:27" x14ac:dyDescent="0.2">
      <c r="Q32" s="71"/>
    </row>
    <row r="33" spans="17:17" x14ac:dyDescent="0.2">
      <c r="Q33" s="71"/>
    </row>
    <row r="34" spans="17:17" x14ac:dyDescent="0.2">
      <c r="Q34" s="71"/>
    </row>
    <row r="35" spans="17:17" x14ac:dyDescent="0.2">
      <c r="Q35" s="71"/>
    </row>
    <row r="36" spans="17:17" x14ac:dyDescent="0.2">
      <c r="Q36" s="71"/>
    </row>
    <row r="37" spans="17:17" x14ac:dyDescent="0.2">
      <c r="Q37" s="71"/>
    </row>
    <row r="38" spans="17:17" x14ac:dyDescent="0.2">
      <c r="Q38" s="71"/>
    </row>
    <row r="39" spans="17:17" x14ac:dyDescent="0.2">
      <c r="Q39" s="71"/>
    </row>
    <row r="40" spans="17:17" x14ac:dyDescent="0.2">
      <c r="Q40" s="71"/>
    </row>
    <row r="41" spans="17:17" x14ac:dyDescent="0.2">
      <c r="Q41" s="71"/>
    </row>
    <row r="42" spans="17:17" x14ac:dyDescent="0.2">
      <c r="Q42" s="71"/>
    </row>
    <row r="43" spans="17:17" x14ac:dyDescent="0.2">
      <c r="Q43" s="71"/>
    </row>
    <row r="44" spans="17:17" x14ac:dyDescent="0.2">
      <c r="Q44" s="71"/>
    </row>
    <row r="45" spans="17:17" x14ac:dyDescent="0.2">
      <c r="Q45" s="71"/>
    </row>
    <row r="46" spans="17:17" x14ac:dyDescent="0.2">
      <c r="Q46" s="71"/>
    </row>
    <row r="47" spans="17:17" x14ac:dyDescent="0.2">
      <c r="Q47" s="71"/>
    </row>
    <row r="48" spans="17:17" x14ac:dyDescent="0.2">
      <c r="Q48" s="71"/>
    </row>
    <row r="49" spans="7:17" x14ac:dyDescent="0.2">
      <c r="Q49" s="71"/>
    </row>
    <row r="50" spans="7:17" x14ac:dyDescent="0.2">
      <c r="Q50" s="71"/>
    </row>
    <row r="51" spans="7:17" x14ac:dyDescent="0.2">
      <c r="Q51" s="71"/>
    </row>
    <row r="52" spans="7:17" x14ac:dyDescent="0.2">
      <c r="Q52" s="71"/>
    </row>
    <row r="53" spans="7:17" x14ac:dyDescent="0.2">
      <c r="G53" s="71"/>
      <c r="I53" s="71"/>
      <c r="L53" s="71"/>
      <c r="Q53" s="71"/>
    </row>
    <row r="54" spans="7:17" x14ac:dyDescent="0.2">
      <c r="G54" s="71"/>
      <c r="I54" s="71"/>
      <c r="L54" s="71"/>
      <c r="Q54" s="71"/>
    </row>
    <row r="55" spans="7:17" x14ac:dyDescent="0.2">
      <c r="G55" s="71"/>
      <c r="I55" s="71"/>
      <c r="L55" s="71"/>
      <c r="Q55" s="71"/>
    </row>
    <row r="56" spans="7:17" x14ac:dyDescent="0.2">
      <c r="Q56" s="71"/>
    </row>
  </sheetData>
  <sheetProtection algorithmName="SHA-512" hashValue="xL34EMqkhji/T10IzYPRhsJzZWE7WCSTVJg7Hcuw6U+MJQkfI3B8w6dUS0u0NNAcgqlZwcynUfSd3/btubbRDg==" saltValue="iZ6vjeRrIVKc4G1lJ2t2Sw==" spinCount="100000" sheet="1" objects="1" scenarios="1"/>
  <mergeCells count="39">
    <mergeCell ref="D13:E13"/>
    <mergeCell ref="F9:M9"/>
    <mergeCell ref="A8:B10"/>
    <mergeCell ref="B1:R3"/>
    <mergeCell ref="G4:L4"/>
    <mergeCell ref="G5:L5"/>
    <mergeCell ref="E4:F4"/>
    <mergeCell ref="E5:F5"/>
    <mergeCell ref="C4:D4"/>
    <mergeCell ref="C5:D5"/>
    <mergeCell ref="N5:O6"/>
    <mergeCell ref="G6:L6"/>
    <mergeCell ref="E6:F6"/>
    <mergeCell ref="C6:D6"/>
    <mergeCell ref="U7:V7"/>
    <mergeCell ref="U9:V9"/>
    <mergeCell ref="E7:F7"/>
    <mergeCell ref="G7:L7"/>
    <mergeCell ref="E8:F8"/>
    <mergeCell ref="P9:Q9"/>
    <mergeCell ref="R8:T8"/>
    <mergeCell ref="R9:T9"/>
    <mergeCell ref="K8:L8"/>
    <mergeCell ref="C19:D19"/>
    <mergeCell ref="S5:T5"/>
    <mergeCell ref="S4:T4"/>
    <mergeCell ref="S6:T6"/>
    <mergeCell ref="P4:R4"/>
    <mergeCell ref="P5:R5"/>
    <mergeCell ref="P6:R6"/>
    <mergeCell ref="I8:J8"/>
    <mergeCell ref="P8:Q8"/>
    <mergeCell ref="D12:E12"/>
    <mergeCell ref="D14:E14"/>
    <mergeCell ref="D15:E15"/>
    <mergeCell ref="D16:E16"/>
    <mergeCell ref="D17:E17"/>
    <mergeCell ref="D18:E18"/>
    <mergeCell ref="D11:E11"/>
  </mergeCells>
  <dataValidations count="1">
    <dataValidation type="list" allowBlank="1" showInputMessage="1" showErrorMessage="1" sqref="Z9" xr:uid="{00000000-0002-0000-0800-000000000000}">
      <formula1>#REF!</formula1>
    </dataValidation>
  </dataValidations>
  <pageMargins left="0.25" right="0.25" top="0.75" bottom="0.75" header="0.3" footer="0.3"/>
  <pageSetup scale="55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F29"/>
  <sheetViews>
    <sheetView showGridLines="0" workbookViewId="0">
      <selection activeCell="P17" sqref="P17"/>
    </sheetView>
  </sheetViews>
  <sheetFormatPr defaultRowHeight="12.75" x14ac:dyDescent="0.2"/>
  <cols>
    <col min="1" max="1" width="22" bestFit="1" customWidth="1"/>
    <col min="2" max="2" width="12.5703125" style="12" customWidth="1"/>
    <col min="3" max="3" width="14.140625" customWidth="1"/>
    <col min="4" max="4" width="27.7109375" customWidth="1"/>
    <col min="10" max="10" width="13.28515625" customWidth="1"/>
    <col min="11" max="11" width="23.42578125" bestFit="1" customWidth="1"/>
  </cols>
  <sheetData>
    <row r="1" spans="1:32" s="5" customFormat="1" x14ac:dyDescent="0.2">
      <c r="B1" s="1338" t="str">
        <f>'NEW SHOES'!E1</f>
        <v>FALL 2026 PROGRAM NEW SHOES</v>
      </c>
      <c r="C1" s="1339"/>
      <c r="D1" s="1339"/>
      <c r="E1" s="1339"/>
      <c r="F1" s="1339"/>
      <c r="G1" s="1339"/>
      <c r="H1" s="1339"/>
      <c r="I1" s="1339"/>
      <c r="J1" s="1339"/>
      <c r="K1" s="1339"/>
      <c r="L1" s="1339"/>
      <c r="M1" s="1339"/>
      <c r="N1" s="1339"/>
      <c r="O1" s="1339"/>
      <c r="P1" s="1339"/>
      <c r="Q1" s="1339"/>
      <c r="R1" s="1340"/>
    </row>
    <row r="2" spans="1:32" s="5" customFormat="1" ht="15" customHeight="1" x14ac:dyDescent="0.2">
      <c r="B2" s="1341"/>
      <c r="C2" s="1342"/>
      <c r="D2" s="1342"/>
      <c r="E2" s="1342"/>
      <c r="F2" s="1342"/>
      <c r="G2" s="1342"/>
      <c r="H2" s="1342"/>
      <c r="I2" s="1342"/>
      <c r="J2" s="1342"/>
      <c r="K2" s="1342"/>
      <c r="L2" s="1342"/>
      <c r="M2" s="1342"/>
      <c r="N2" s="1342"/>
      <c r="O2" s="1342"/>
      <c r="P2" s="1342"/>
      <c r="Q2" s="1342"/>
      <c r="R2" s="1343"/>
      <c r="T2" s="30"/>
      <c r="U2" s="31"/>
      <c r="V2" s="31"/>
      <c r="W2" s="31"/>
      <c r="X2" s="31"/>
      <c r="Y2" s="4"/>
      <c r="Z2" s="4"/>
      <c r="AA2" s="4"/>
      <c r="AB2" s="6"/>
    </row>
    <row r="3" spans="1:32" s="5" customFormat="1" ht="15" customHeight="1" thickBot="1" x14ac:dyDescent="0.25">
      <c r="B3" s="1344"/>
      <c r="C3" s="1345"/>
      <c r="D3" s="1345"/>
      <c r="E3" s="1345"/>
      <c r="F3" s="1345"/>
      <c r="G3" s="1345"/>
      <c r="H3" s="1345"/>
      <c r="I3" s="1345"/>
      <c r="J3" s="1345"/>
      <c r="K3" s="1345"/>
      <c r="L3" s="1345"/>
      <c r="M3" s="1345"/>
      <c r="N3" s="1345"/>
      <c r="O3" s="1345"/>
      <c r="P3" s="1345"/>
      <c r="Q3" s="1345"/>
      <c r="R3" s="1346"/>
      <c r="U3" s="34"/>
      <c r="V3" s="31"/>
      <c r="W3" s="31"/>
      <c r="X3" s="31"/>
      <c r="AA3" s="34"/>
      <c r="AB3" s="6"/>
      <c r="AC3" s="22"/>
    </row>
    <row r="4" spans="1:32" s="5" customFormat="1" ht="13.5" thickBot="1" x14ac:dyDescent="0.25">
      <c r="B4" s="277" t="s">
        <v>5</v>
      </c>
      <c r="C4" s="1526">
        <f>'NEW SHOES'!F4</f>
        <v>0</v>
      </c>
      <c r="D4" s="1525"/>
      <c r="E4" s="1309" t="s">
        <v>6</v>
      </c>
      <c r="F4" s="1154"/>
      <c r="G4" s="1524">
        <f>'NEW SHOES'!P4</f>
        <v>0</v>
      </c>
      <c r="H4" s="1525"/>
      <c r="I4" s="1525"/>
      <c r="J4" s="1525"/>
      <c r="K4" s="1525"/>
      <c r="L4" s="1527"/>
      <c r="N4" s="23"/>
      <c r="O4" s="23"/>
      <c r="P4" s="1185"/>
      <c r="Q4" s="1185"/>
      <c r="R4" s="1492"/>
      <c r="S4" s="1492"/>
      <c r="U4" s="265"/>
      <c r="W4" s="22"/>
    </row>
    <row r="5" spans="1:32" s="5" customFormat="1" ht="13.5" thickBot="1" x14ac:dyDescent="0.25">
      <c r="B5" s="277" t="s">
        <v>12</v>
      </c>
      <c r="C5" s="1528">
        <f>'NEW SHOES'!F5</f>
        <v>0</v>
      </c>
      <c r="D5" s="1366"/>
      <c r="E5" s="1309" t="s">
        <v>13</v>
      </c>
      <c r="F5" s="1154"/>
      <c r="G5" s="1365">
        <f>'NEW SHOES'!P5</f>
        <v>0</v>
      </c>
      <c r="H5" s="1366"/>
      <c r="I5" s="1366"/>
      <c r="J5" s="1366"/>
      <c r="K5" s="1366"/>
      <c r="L5" s="1393"/>
      <c r="M5" s="273" t="str">
        <f>'NEW SHOES'!W4</f>
        <v>NO</v>
      </c>
      <c r="N5" s="1137" t="s">
        <v>74</v>
      </c>
      <c r="O5" s="1424"/>
      <c r="P5" s="1549" t="s">
        <v>183</v>
      </c>
      <c r="Q5" s="1549"/>
      <c r="R5" s="1550">
        <f>I29</f>
        <v>0</v>
      </c>
      <c r="S5" s="1551"/>
      <c r="U5" s="34"/>
      <c r="W5" s="22"/>
    </row>
    <row r="6" spans="1:32" s="5" customFormat="1" ht="13.5" thickBot="1" x14ac:dyDescent="0.25">
      <c r="B6" s="278" t="s">
        <v>18</v>
      </c>
      <c r="C6" s="1529" t="str">
        <f>'NEW SHOES'!F6</f>
        <v xml:space="preserve">F26 A </v>
      </c>
      <c r="D6" s="1360"/>
      <c r="E6" s="1309" t="s">
        <v>77</v>
      </c>
      <c r="F6" s="1154"/>
      <c r="G6" s="1365">
        <f>'NEW SHOES'!P6</f>
        <v>0</v>
      </c>
      <c r="H6" s="1366"/>
      <c r="I6" s="1366"/>
      <c r="J6" s="1366"/>
      <c r="K6" s="1366"/>
      <c r="L6" s="1393"/>
      <c r="M6" s="45"/>
      <c r="N6" s="1199"/>
      <c r="O6" s="1425"/>
      <c r="P6" s="1549" t="s">
        <v>184</v>
      </c>
      <c r="Q6" s="1549"/>
      <c r="R6" s="1552">
        <f>J29</f>
        <v>0</v>
      </c>
      <c r="S6" s="1552"/>
      <c r="U6" s="18"/>
      <c r="W6" s="22"/>
    </row>
    <row r="7" spans="1:32" s="5" customFormat="1" ht="13.5" thickBot="1" x14ac:dyDescent="0.25">
      <c r="B7" s="56"/>
      <c r="C7" s="62"/>
      <c r="D7" s="45"/>
      <c r="E7" s="1309" t="s">
        <v>24</v>
      </c>
      <c r="F7" s="1154"/>
      <c r="G7" s="1365">
        <f>'NEW SHOES'!P7</f>
        <v>0</v>
      </c>
      <c r="H7" s="1366"/>
      <c r="I7" s="1366"/>
      <c r="J7" s="1366"/>
      <c r="K7" s="1366"/>
      <c r="L7" s="1393"/>
      <c r="N7" s="24"/>
      <c r="O7" s="24"/>
      <c r="P7" s="24"/>
      <c r="Q7" s="24"/>
      <c r="R7" s="24"/>
      <c r="T7" s="16"/>
      <c r="U7" s="1334"/>
      <c r="V7" s="1334"/>
      <c r="W7" s="22"/>
    </row>
    <row r="8" spans="1:32" s="5" customFormat="1" ht="13.5" thickBot="1" x14ac:dyDescent="0.25">
      <c r="A8" s="549" t="s">
        <v>203</v>
      </c>
      <c r="E8" s="1178" t="s">
        <v>30</v>
      </c>
      <c r="F8" s="1122"/>
      <c r="G8" s="1361">
        <f>'NEW SHOES'!P8</f>
        <v>0</v>
      </c>
      <c r="H8" s="1362"/>
      <c r="I8" s="1196" t="s">
        <v>31</v>
      </c>
      <c r="J8" s="1196"/>
      <c r="K8" s="1419">
        <f>'NEW SHOES'!U8</f>
        <v>0</v>
      </c>
      <c r="L8" s="1222"/>
      <c r="M8" s="25"/>
      <c r="N8" s="25"/>
      <c r="O8" s="24"/>
      <c r="P8" s="1247" t="s">
        <v>103</v>
      </c>
      <c r="Q8" s="1249"/>
      <c r="R8" s="1440">
        <f>'NEW SHOES'!AG7</f>
        <v>0</v>
      </c>
      <c r="S8" s="1441"/>
      <c r="T8" s="1442"/>
      <c r="U8" s="15"/>
      <c r="V8" s="15"/>
      <c r="W8" s="21"/>
    </row>
    <row r="9" spans="1:32" s="5" customFormat="1" ht="13.5" customHeight="1" thickBot="1" x14ac:dyDescent="0.25">
      <c r="A9" s="547" t="s">
        <v>204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1501" t="s">
        <v>104</v>
      </c>
      <c r="Q9" s="1197"/>
      <c r="R9" s="1432">
        <f>'NEW SHOES'!AG9</f>
        <v>0</v>
      </c>
      <c r="S9" s="1433"/>
      <c r="T9" s="1434"/>
      <c r="U9" s="1334"/>
      <c r="V9" s="1334"/>
      <c r="W9" s="15"/>
      <c r="X9" s="15"/>
      <c r="Y9" s="15"/>
      <c r="Z9" s="15"/>
      <c r="AA9" s="33"/>
      <c r="AB9" s="15"/>
      <c r="AC9" s="26"/>
    </row>
    <row r="10" spans="1:32" s="5" customFormat="1" ht="15" customHeight="1" thickBot="1" x14ac:dyDescent="0.25">
      <c r="A10" s="548" t="s">
        <v>205</v>
      </c>
      <c r="B10" s="558"/>
      <c r="C10" s="558"/>
      <c r="D10" s="29"/>
      <c r="E10" s="29"/>
      <c r="F10" s="29"/>
      <c r="G10" s="42"/>
      <c r="H10" s="42"/>
      <c r="I10" s="42"/>
      <c r="J10" s="42"/>
      <c r="K10" s="42"/>
      <c r="U10" s="3"/>
      <c r="V10" s="3"/>
      <c r="W10" s="3"/>
      <c r="X10" s="3"/>
      <c r="Y10" s="1146"/>
      <c r="Z10" s="1146"/>
      <c r="AA10" s="35"/>
      <c r="AB10" s="22"/>
      <c r="AC10" s="17" t="s">
        <v>131</v>
      </c>
    </row>
    <row r="11" spans="1:32" s="3" customFormat="1" ht="15.75" thickBot="1" x14ac:dyDescent="0.3">
      <c r="A11" s="203" t="s">
        <v>185</v>
      </c>
      <c r="B11" s="324" t="s">
        <v>105</v>
      </c>
      <c r="C11" s="307" t="s">
        <v>106</v>
      </c>
      <c r="D11" s="94" t="s">
        <v>107</v>
      </c>
      <c r="E11" s="1548"/>
      <c r="F11" s="1548"/>
      <c r="G11" s="203" t="s">
        <v>108</v>
      </c>
      <c r="H11" s="99" t="s">
        <v>117</v>
      </c>
      <c r="I11" s="88" t="s">
        <v>186</v>
      </c>
      <c r="J11" s="88" t="s">
        <v>111</v>
      </c>
      <c r="K11" s="1546" t="s">
        <v>112</v>
      </c>
      <c r="L11" s="1547"/>
    </row>
    <row r="12" spans="1:32" s="3" customFormat="1" ht="14.25" x14ac:dyDescent="0.2">
      <c r="A12" s="516"/>
      <c r="B12" s="517"/>
      <c r="C12" s="456"/>
      <c r="D12" s="518"/>
      <c r="E12" s="1545"/>
      <c r="F12" s="1545"/>
      <c r="G12" s="202"/>
      <c r="H12" s="100" t="s">
        <v>206</v>
      </c>
      <c r="I12" s="519"/>
      <c r="J12" s="451">
        <f>G12*I12</f>
        <v>0</v>
      </c>
      <c r="K12" s="1535"/>
      <c r="L12" s="1536"/>
      <c r="M12" s="306"/>
    </row>
    <row r="13" spans="1:32" s="3" customFormat="1" ht="15" x14ac:dyDescent="0.25">
      <c r="A13" s="520"/>
      <c r="B13" s="521"/>
      <c r="C13" s="449"/>
      <c r="D13" s="470"/>
      <c r="E13" s="1542"/>
      <c r="F13" s="1542"/>
      <c r="G13" s="523"/>
      <c r="H13" s="524" t="s">
        <v>206</v>
      </c>
      <c r="I13" s="525"/>
      <c r="J13" s="467">
        <f>G13*I13</f>
        <v>0</v>
      </c>
      <c r="K13" s="1535"/>
      <c r="L13" s="1536"/>
      <c r="M13" s="306"/>
      <c r="Y13" s="96"/>
      <c r="Z13" s="96"/>
      <c r="AA13" s="96"/>
      <c r="AB13" s="96"/>
      <c r="AC13" s="97"/>
      <c r="AF13" s="526"/>
    </row>
    <row r="14" spans="1:32" s="3" customFormat="1" ht="14.25" x14ac:dyDescent="0.2">
      <c r="A14" s="520"/>
      <c r="B14" s="527"/>
      <c r="C14" s="450"/>
      <c r="D14" s="471"/>
      <c r="E14" s="1541"/>
      <c r="F14" s="1541"/>
      <c r="G14" s="529"/>
      <c r="H14" s="530" t="s">
        <v>206</v>
      </c>
      <c r="I14" s="531"/>
      <c r="J14" s="469">
        <f t="shared" ref="J14:J28" si="0">G14*I14</f>
        <v>0</v>
      </c>
      <c r="K14" s="1535"/>
      <c r="L14" s="1536"/>
      <c r="M14" s="306"/>
    </row>
    <row r="15" spans="1:32" s="3" customFormat="1" ht="14.25" x14ac:dyDescent="0.2">
      <c r="A15" s="520"/>
      <c r="B15" s="521"/>
      <c r="C15" s="449"/>
      <c r="D15" s="470"/>
      <c r="E15" s="1542"/>
      <c r="F15" s="1542"/>
      <c r="G15" s="523"/>
      <c r="H15" s="524" t="s">
        <v>206</v>
      </c>
      <c r="I15" s="525"/>
      <c r="J15" s="467">
        <f>G15*I15</f>
        <v>0</v>
      </c>
      <c r="K15" s="1535"/>
      <c r="L15" s="1536"/>
      <c r="M15" s="306"/>
    </row>
    <row r="16" spans="1:32" s="3" customFormat="1" ht="14.25" x14ac:dyDescent="0.2">
      <c r="A16" s="520"/>
      <c r="B16" s="527"/>
      <c r="C16" s="450"/>
      <c r="D16" s="471"/>
      <c r="E16" s="1545"/>
      <c r="F16" s="1545"/>
      <c r="G16" s="529"/>
      <c r="H16" s="530" t="s">
        <v>206</v>
      </c>
      <c r="I16" s="531"/>
      <c r="J16" s="469">
        <f>G16*I16</f>
        <v>0</v>
      </c>
      <c r="K16" s="1535"/>
      <c r="L16" s="1536"/>
      <c r="M16" s="306"/>
      <c r="Y16" s="77"/>
      <c r="Z16" s="77"/>
      <c r="AA16" s="77"/>
      <c r="AB16" s="77"/>
      <c r="AC16" s="77"/>
      <c r="AD16" s="77"/>
      <c r="AE16" s="77"/>
    </row>
    <row r="17" spans="1:32" s="3" customFormat="1" ht="15" x14ac:dyDescent="0.25">
      <c r="A17" s="520"/>
      <c r="B17" s="521"/>
      <c r="C17" s="449"/>
      <c r="D17" s="470"/>
      <c r="E17" s="1542"/>
      <c r="F17" s="1542"/>
      <c r="G17" s="523"/>
      <c r="H17" s="524" t="s">
        <v>206</v>
      </c>
      <c r="I17" s="525"/>
      <c r="J17" s="467">
        <f t="shared" si="0"/>
        <v>0</v>
      </c>
      <c r="K17" s="1535"/>
      <c r="L17" s="1536"/>
      <c r="M17" s="306"/>
      <c r="N17" s="95"/>
      <c r="O17" s="77"/>
      <c r="AB17" s="97"/>
      <c r="AC17" s="97"/>
      <c r="AD17" s="97"/>
      <c r="AE17" s="96"/>
      <c r="AF17" s="526"/>
    </row>
    <row r="18" spans="1:32" s="3" customFormat="1" ht="14.25" x14ac:dyDescent="0.2">
      <c r="A18" s="520"/>
      <c r="B18" s="527"/>
      <c r="C18" s="450"/>
      <c r="D18" s="471"/>
      <c r="E18" s="1541"/>
      <c r="F18" s="1541"/>
      <c r="G18" s="529"/>
      <c r="H18" s="530" t="s">
        <v>206</v>
      </c>
      <c r="I18" s="531"/>
      <c r="J18" s="469">
        <f>G18*I18</f>
        <v>0</v>
      </c>
      <c r="K18" s="1535"/>
      <c r="L18" s="1536"/>
      <c r="M18" s="306"/>
    </row>
    <row r="19" spans="1:32" s="3" customFormat="1" ht="14.25" x14ac:dyDescent="0.2">
      <c r="A19" s="520"/>
      <c r="B19" s="521"/>
      <c r="C19" s="449"/>
      <c r="D19" s="470"/>
      <c r="E19" s="1542"/>
      <c r="F19" s="1542"/>
      <c r="G19" s="523"/>
      <c r="H19" s="524" t="s">
        <v>206</v>
      </c>
      <c r="I19" s="525"/>
      <c r="J19" s="467">
        <f>G19*I19</f>
        <v>0</v>
      </c>
      <c r="K19" s="1535"/>
      <c r="L19" s="1536"/>
      <c r="M19" s="306"/>
    </row>
    <row r="20" spans="1:32" s="3" customFormat="1" ht="14.25" x14ac:dyDescent="0.2">
      <c r="A20" s="520"/>
      <c r="B20" s="527"/>
      <c r="C20" s="450"/>
      <c r="D20" s="528"/>
      <c r="E20" s="1545"/>
      <c r="F20" s="1545"/>
      <c r="G20" s="529"/>
      <c r="H20" s="530" t="s">
        <v>206</v>
      </c>
      <c r="I20" s="531"/>
      <c r="J20" s="469">
        <f>G20*I20</f>
        <v>0</v>
      </c>
      <c r="K20" s="1535"/>
      <c r="L20" s="1536"/>
    </row>
    <row r="21" spans="1:32" s="3" customFormat="1" ht="15" x14ac:dyDescent="0.25">
      <c r="A21" s="520"/>
      <c r="B21" s="521"/>
      <c r="C21" s="449"/>
      <c r="D21" s="522"/>
      <c r="E21" s="1542"/>
      <c r="F21" s="1542"/>
      <c r="G21" s="523"/>
      <c r="H21" s="524" t="s">
        <v>206</v>
      </c>
      <c r="I21" s="525"/>
      <c r="J21" s="467">
        <f t="shared" si="0"/>
        <v>0</v>
      </c>
      <c r="K21" s="1537"/>
      <c r="L21" s="1538"/>
    </row>
    <row r="22" spans="1:32" s="3" customFormat="1" ht="14.25" x14ac:dyDescent="0.2">
      <c r="A22" s="520"/>
      <c r="B22" s="527"/>
      <c r="C22" s="450"/>
      <c r="D22" s="528"/>
      <c r="E22" s="1541"/>
      <c r="F22" s="1541"/>
      <c r="G22" s="529"/>
      <c r="H22" s="530" t="s">
        <v>206</v>
      </c>
      <c r="I22" s="531"/>
      <c r="J22" s="469">
        <f t="shared" si="0"/>
        <v>0</v>
      </c>
      <c r="K22" s="1539"/>
      <c r="L22" s="1540"/>
    </row>
    <row r="23" spans="1:32" s="3" customFormat="1" ht="14.25" x14ac:dyDescent="0.2">
      <c r="A23" s="520"/>
      <c r="B23" s="521"/>
      <c r="C23" s="522"/>
      <c r="D23" s="522"/>
      <c r="E23" s="1542"/>
      <c r="F23" s="1542"/>
      <c r="G23" s="523"/>
      <c r="H23" s="524" t="s">
        <v>206</v>
      </c>
      <c r="I23" s="525"/>
      <c r="J23" s="467">
        <f t="shared" si="0"/>
        <v>0</v>
      </c>
      <c r="K23" s="1539"/>
      <c r="L23" s="1540"/>
    </row>
    <row r="24" spans="1:32" s="3" customFormat="1" ht="14.25" x14ac:dyDescent="0.2">
      <c r="A24" s="520"/>
      <c r="B24" s="527"/>
      <c r="C24" s="528"/>
      <c r="D24" s="528"/>
      <c r="E24" s="1541"/>
      <c r="F24" s="1541"/>
      <c r="G24" s="529"/>
      <c r="H24" s="530" t="s">
        <v>206</v>
      </c>
      <c r="I24" s="519"/>
      <c r="J24" s="469">
        <f t="shared" si="0"/>
        <v>0</v>
      </c>
      <c r="K24" s="1539"/>
      <c r="L24" s="1540"/>
    </row>
    <row r="25" spans="1:32" s="3" customFormat="1" ht="14.25" x14ac:dyDescent="0.2">
      <c r="A25" s="520"/>
      <c r="B25" s="521"/>
      <c r="C25" s="522"/>
      <c r="D25" s="522"/>
      <c r="E25" s="1542"/>
      <c r="F25" s="1542"/>
      <c r="G25" s="523"/>
      <c r="H25" s="524" t="s">
        <v>206</v>
      </c>
      <c r="I25" s="525"/>
      <c r="J25" s="467">
        <f t="shared" si="0"/>
        <v>0</v>
      </c>
      <c r="K25" s="1539"/>
      <c r="L25" s="1540"/>
    </row>
    <row r="26" spans="1:32" s="3" customFormat="1" ht="14.25" x14ac:dyDescent="0.2">
      <c r="A26" s="520"/>
      <c r="B26" s="527"/>
      <c r="C26" s="528"/>
      <c r="D26" s="528"/>
      <c r="E26" s="1541"/>
      <c r="F26" s="1541"/>
      <c r="G26" s="529"/>
      <c r="H26" s="530" t="s">
        <v>206</v>
      </c>
      <c r="I26" s="531"/>
      <c r="J26" s="469">
        <f t="shared" si="0"/>
        <v>0</v>
      </c>
      <c r="K26" s="1539"/>
      <c r="L26" s="1540"/>
    </row>
    <row r="27" spans="1:32" s="3" customFormat="1" ht="14.25" x14ac:dyDescent="0.2">
      <c r="A27" s="520"/>
      <c r="B27" s="532"/>
      <c r="C27" s="533"/>
      <c r="D27" s="533"/>
      <c r="E27" s="1543"/>
      <c r="F27" s="1543"/>
      <c r="G27" s="534"/>
      <c r="H27" s="535" t="s">
        <v>206</v>
      </c>
      <c r="I27" s="536"/>
      <c r="J27" s="542">
        <f t="shared" si="0"/>
        <v>0</v>
      </c>
      <c r="K27" s="1539"/>
      <c r="L27" s="1540"/>
    </row>
    <row r="28" spans="1:32" s="3" customFormat="1" ht="15" thickBot="1" x14ac:dyDescent="0.25">
      <c r="A28" s="520"/>
      <c r="B28" s="527"/>
      <c r="C28" s="447"/>
      <c r="D28" s="447"/>
      <c r="E28" s="1544"/>
      <c r="F28" s="1544"/>
      <c r="G28" s="537"/>
      <c r="H28" s="538" t="s">
        <v>206</v>
      </c>
      <c r="I28" s="539"/>
      <c r="J28" s="458">
        <f t="shared" si="0"/>
        <v>0</v>
      </c>
      <c r="K28" s="1539"/>
      <c r="L28" s="1540"/>
    </row>
    <row r="29" spans="1:32" s="3" customFormat="1" ht="15.75" thickBot="1" x14ac:dyDescent="0.3">
      <c r="A29" s="1532" t="s">
        <v>187</v>
      </c>
      <c r="B29" s="1533"/>
      <c r="C29" s="1533"/>
      <c r="D29" s="1533"/>
      <c r="E29" s="1533"/>
      <c r="F29" s="1533"/>
      <c r="G29" s="1533"/>
      <c r="H29" s="1534"/>
      <c r="I29" s="540">
        <f>SUM(I12:I28)</f>
        <v>0</v>
      </c>
      <c r="J29" s="541">
        <f>SUM(J12:J28)</f>
        <v>0</v>
      </c>
      <c r="K29" s="1530"/>
      <c r="L29" s="1531"/>
    </row>
  </sheetData>
  <mergeCells count="68">
    <mergeCell ref="B1:R3"/>
    <mergeCell ref="G4:L4"/>
    <mergeCell ref="G5:L5"/>
    <mergeCell ref="P4:Q4"/>
    <mergeCell ref="P6:Q6"/>
    <mergeCell ref="E4:F4"/>
    <mergeCell ref="E5:F5"/>
    <mergeCell ref="E6:F6"/>
    <mergeCell ref="C4:D4"/>
    <mergeCell ref="C5:D5"/>
    <mergeCell ref="C6:D6"/>
    <mergeCell ref="R4:S4"/>
    <mergeCell ref="R5:S5"/>
    <mergeCell ref="R6:S6"/>
    <mergeCell ref="P5:Q5"/>
    <mergeCell ref="N5:O6"/>
    <mergeCell ref="Y10:Z10"/>
    <mergeCell ref="G8:H8"/>
    <mergeCell ref="I8:J8"/>
    <mergeCell ref="K8:L8"/>
    <mergeCell ref="P8:Q8"/>
    <mergeCell ref="P9:Q9"/>
    <mergeCell ref="R8:T8"/>
    <mergeCell ref="R9:T9"/>
    <mergeCell ref="U7:V7"/>
    <mergeCell ref="U9:V9"/>
    <mergeCell ref="E11:F11"/>
    <mergeCell ref="E7:F7"/>
    <mergeCell ref="G7:L7"/>
    <mergeCell ref="E8:F8"/>
    <mergeCell ref="K13:L13"/>
    <mergeCell ref="K11:L11"/>
    <mergeCell ref="K12:L12"/>
    <mergeCell ref="E13:F13"/>
    <mergeCell ref="G6:L6"/>
    <mergeCell ref="E12:F12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K28:L28"/>
    <mergeCell ref="E24:F24"/>
    <mergeCell ref="E25:F25"/>
    <mergeCell ref="E26:F26"/>
    <mergeCell ref="E27:F27"/>
    <mergeCell ref="E28:F28"/>
    <mergeCell ref="K29:L29"/>
    <mergeCell ref="A29:H29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</mergeCells>
  <dataValidations count="1">
    <dataValidation type="list" allowBlank="1" showInputMessage="1" showErrorMessage="1" sqref="AA9" xr:uid="{00000000-0002-0000-0900-000000000000}">
      <formula1>#REF!</formula1>
    </dataValidation>
  </dataValidations>
  <pageMargins left="0.7" right="0.7" top="0.75" bottom="0.75" header="0.3" footer="0.3"/>
  <pageSetup scale="48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-0.249977111117893"/>
    <pageSetUpPr fitToPage="1"/>
  </sheetPr>
  <dimension ref="A1:AC15"/>
  <sheetViews>
    <sheetView showGridLines="0" workbookViewId="0">
      <selection activeCell="I27" sqref="I27"/>
    </sheetView>
  </sheetViews>
  <sheetFormatPr defaultRowHeight="12.75" x14ac:dyDescent="0.2"/>
  <cols>
    <col min="1" max="1" width="15" bestFit="1" customWidth="1"/>
    <col min="2" max="2" width="14.28515625" style="12" customWidth="1"/>
    <col min="7" max="7" width="13.85546875" customWidth="1"/>
    <col min="9" max="9" width="8" customWidth="1"/>
    <col min="10" max="10" width="9.7109375" customWidth="1"/>
    <col min="11" max="11" width="0.140625" customWidth="1"/>
    <col min="15" max="15" width="9" hidden="1" customWidth="1"/>
    <col min="17" max="17" width="8.5703125" customWidth="1"/>
    <col min="18" max="18" width="9" hidden="1" customWidth="1"/>
    <col min="23" max="23" width="10.7109375" customWidth="1"/>
    <col min="24" max="24" width="26.5703125" bestFit="1" customWidth="1"/>
  </cols>
  <sheetData>
    <row r="1" spans="1:29" s="5" customFormat="1" x14ac:dyDescent="0.2">
      <c r="B1" s="1338" t="str">
        <f>'NEW SHOES'!E1</f>
        <v>FALL 2026 PROGRAM NEW SHOES</v>
      </c>
      <c r="C1" s="1339"/>
      <c r="D1" s="1339"/>
      <c r="E1" s="1339"/>
      <c r="F1" s="1339"/>
      <c r="G1" s="1339"/>
      <c r="H1" s="1339"/>
      <c r="I1" s="1339"/>
      <c r="J1" s="1339"/>
      <c r="K1" s="1339"/>
      <c r="L1" s="1339"/>
      <c r="M1" s="1339"/>
      <c r="N1" s="1339"/>
      <c r="O1" s="1339"/>
      <c r="P1" s="1339"/>
      <c r="Q1" s="1339"/>
      <c r="R1" s="1340"/>
    </row>
    <row r="2" spans="1:29" s="5" customFormat="1" ht="15" customHeight="1" x14ac:dyDescent="0.2">
      <c r="B2" s="1341"/>
      <c r="C2" s="1342"/>
      <c r="D2" s="1342"/>
      <c r="E2" s="1342"/>
      <c r="F2" s="1342"/>
      <c r="G2" s="1342"/>
      <c r="H2" s="1342"/>
      <c r="I2" s="1342"/>
      <c r="J2" s="1342"/>
      <c r="K2" s="1342"/>
      <c r="L2" s="1342"/>
      <c r="M2" s="1342"/>
      <c r="N2" s="1342"/>
      <c r="O2" s="1342"/>
      <c r="P2" s="1342"/>
      <c r="Q2" s="1342"/>
      <c r="R2" s="1343"/>
      <c r="T2" s="30"/>
      <c r="U2" s="31"/>
      <c r="V2" s="31"/>
      <c r="W2" s="31"/>
      <c r="X2" s="31"/>
      <c r="Y2" s="4"/>
      <c r="Z2" s="4"/>
      <c r="AA2" s="4"/>
      <c r="AB2" s="6"/>
    </row>
    <row r="3" spans="1:29" s="5" customFormat="1" ht="15" customHeight="1" thickBot="1" x14ac:dyDescent="0.25">
      <c r="B3" s="1344"/>
      <c r="C3" s="1345"/>
      <c r="D3" s="1345"/>
      <c r="E3" s="1345"/>
      <c r="F3" s="1345"/>
      <c r="G3" s="1345"/>
      <c r="H3" s="1345"/>
      <c r="I3" s="1345"/>
      <c r="J3" s="1345"/>
      <c r="K3" s="1345"/>
      <c r="L3" s="1345"/>
      <c r="M3" s="1345"/>
      <c r="N3" s="1345"/>
      <c r="O3" s="1345"/>
      <c r="P3" s="1345"/>
      <c r="Q3" s="1345"/>
      <c r="R3" s="1346"/>
      <c r="X3" s="31"/>
      <c r="AA3" s="34"/>
      <c r="AB3" s="6"/>
      <c r="AC3" s="22"/>
    </row>
    <row r="4" spans="1:29" s="5" customFormat="1" ht="15" customHeight="1" thickBot="1" x14ac:dyDescent="0.25">
      <c r="B4" s="277" t="s">
        <v>5</v>
      </c>
      <c r="C4" s="1590">
        <f>'NEW SHOES'!F4</f>
        <v>0</v>
      </c>
      <c r="D4" s="1591"/>
      <c r="E4" s="1309" t="s">
        <v>6</v>
      </c>
      <c r="F4" s="1154"/>
      <c r="G4" s="1524">
        <f>'NEW SHOES'!P4</f>
        <v>0</v>
      </c>
      <c r="H4" s="1525"/>
      <c r="I4" s="1525"/>
      <c r="J4" s="1525"/>
      <c r="K4" s="1525"/>
      <c r="L4" s="1527"/>
      <c r="N4" s="23"/>
      <c r="O4" s="23"/>
      <c r="P4" s="23"/>
      <c r="Q4" s="23"/>
      <c r="S4" s="1153"/>
      <c r="T4" s="1153"/>
      <c r="U4" s="1492"/>
      <c r="V4" s="1492"/>
      <c r="W4" s="763"/>
    </row>
    <row r="5" spans="1:29" s="5" customFormat="1" ht="15" customHeight="1" thickBot="1" x14ac:dyDescent="0.25">
      <c r="B5" s="277" t="s">
        <v>12</v>
      </c>
      <c r="C5" s="1592">
        <f>'NEW SHOES'!F5</f>
        <v>0</v>
      </c>
      <c r="D5" s="1593"/>
      <c r="E5" s="1309" t="s">
        <v>188</v>
      </c>
      <c r="F5" s="1154"/>
      <c r="G5" s="1365">
        <f>'NEW SHOES'!P5</f>
        <v>0</v>
      </c>
      <c r="H5" s="1366"/>
      <c r="I5" s="1366"/>
      <c r="J5" s="1366"/>
      <c r="K5" s="1366"/>
      <c r="L5" s="1393"/>
      <c r="N5" s="61" t="str">
        <f>'NEW SHOES'!W4</f>
        <v>NO</v>
      </c>
      <c r="O5" s="47"/>
      <c r="P5" s="1137" t="s">
        <v>74</v>
      </c>
      <c r="Q5" s="1138"/>
      <c r="S5" s="1182" t="s">
        <v>225</v>
      </c>
      <c r="T5" s="1183"/>
      <c r="U5" s="1349">
        <f>V15</f>
        <v>0</v>
      </c>
      <c r="V5" s="1486"/>
      <c r="W5" s="764"/>
    </row>
    <row r="6" spans="1:29" s="5" customFormat="1" ht="15" customHeight="1" thickBot="1" x14ac:dyDescent="0.25">
      <c r="B6" s="278" t="s">
        <v>18</v>
      </c>
      <c r="C6" s="1594" t="str">
        <f>'NEW SHOES'!F6</f>
        <v xml:space="preserve">F26 A </v>
      </c>
      <c r="D6" s="1595"/>
      <c r="E6" s="1309" t="s">
        <v>189</v>
      </c>
      <c r="F6" s="1154"/>
      <c r="G6" s="1365">
        <f>'NEW SHOES'!P6</f>
        <v>0</v>
      </c>
      <c r="H6" s="1366"/>
      <c r="I6" s="1366"/>
      <c r="J6" s="1366"/>
      <c r="K6" s="1366"/>
      <c r="L6" s="1393"/>
      <c r="N6" s="24"/>
      <c r="O6" s="24"/>
      <c r="P6" s="1199"/>
      <c r="Q6" s="1200"/>
      <c r="S6" s="1182" t="s">
        <v>91</v>
      </c>
      <c r="T6" s="1183"/>
      <c r="U6" s="1485">
        <f>W15</f>
        <v>0</v>
      </c>
      <c r="V6" s="1311"/>
      <c r="W6" s="765"/>
    </row>
    <row r="7" spans="1:29" s="5" customFormat="1" ht="15" customHeight="1" thickBot="1" x14ac:dyDescent="0.25">
      <c r="B7" s="56"/>
      <c r="C7" s="62"/>
      <c r="D7" s="45"/>
      <c r="E7" s="1309" t="s">
        <v>24</v>
      </c>
      <c r="F7" s="1154"/>
      <c r="G7" s="1365">
        <f>'NEW SHOES'!P7</f>
        <v>0</v>
      </c>
      <c r="H7" s="1366"/>
      <c r="I7" s="1366"/>
      <c r="J7" s="1366"/>
      <c r="K7" s="1366"/>
      <c r="L7" s="1393"/>
      <c r="N7" s="15"/>
      <c r="O7" s="15"/>
      <c r="P7" s="15"/>
      <c r="Q7" s="15"/>
      <c r="R7" s="15"/>
      <c r="S7" s="2" t="s">
        <v>190</v>
      </c>
      <c r="T7" s="16"/>
      <c r="U7" s="1583">
        <f>'NEW SHOES'!AG7</f>
        <v>0</v>
      </c>
      <c r="V7" s="1374"/>
      <c r="W7" s="22"/>
    </row>
    <row r="8" spans="1:29" s="5" customFormat="1" ht="15" customHeight="1" thickBot="1" x14ac:dyDescent="0.25">
      <c r="B8" s="56"/>
      <c r="C8" s="27"/>
      <c r="E8" s="1178" t="s">
        <v>30</v>
      </c>
      <c r="F8" s="1122"/>
      <c r="G8" s="279">
        <f>'NEW SHOES'!P8</f>
        <v>0</v>
      </c>
      <c r="H8" s="1363" t="s">
        <v>31</v>
      </c>
      <c r="I8" s="1364"/>
      <c r="J8" s="1307">
        <f>'NEW SHOES'!U8</f>
        <v>0</v>
      </c>
      <c r="K8" s="1180"/>
      <c r="L8" s="1181"/>
      <c r="M8" s="25"/>
      <c r="N8" s="25"/>
      <c r="O8" s="15"/>
      <c r="P8" s="15"/>
      <c r="Q8" s="15"/>
      <c r="R8" s="15"/>
      <c r="S8" s="15"/>
      <c r="T8" s="15"/>
      <c r="U8" s="15"/>
      <c r="V8" s="15"/>
      <c r="W8" s="21"/>
    </row>
    <row r="9" spans="1:29" s="5" customFormat="1" ht="15" customHeight="1" thickBot="1" x14ac:dyDescent="0.25">
      <c r="A9" s="1556"/>
      <c r="B9" s="1557"/>
      <c r="C9" s="1558"/>
      <c r="D9" s="7"/>
      <c r="E9" s="7"/>
      <c r="F9" s="7"/>
      <c r="G9" s="60"/>
      <c r="H9" s="60"/>
      <c r="I9" s="60"/>
      <c r="J9" s="60"/>
      <c r="K9" s="60"/>
      <c r="L9" s="60"/>
      <c r="M9" s="7"/>
      <c r="N9" s="7"/>
      <c r="O9" s="7"/>
      <c r="P9" s="25"/>
      <c r="Q9" s="25"/>
      <c r="R9" s="25"/>
      <c r="S9" s="15" t="s">
        <v>104</v>
      </c>
      <c r="T9" s="15"/>
      <c r="U9" s="1583">
        <f>'NEW SHOES'!AG9</f>
        <v>0</v>
      </c>
      <c r="V9" s="1374"/>
      <c r="W9" s="15"/>
      <c r="X9" s="15"/>
      <c r="Y9" s="15"/>
      <c r="Z9" s="15"/>
      <c r="AA9" s="33"/>
      <c r="AB9" s="15"/>
      <c r="AC9" s="26"/>
    </row>
    <row r="10" spans="1:29" s="3" customFormat="1" ht="15" customHeight="1" thickBot="1" x14ac:dyDescent="0.3">
      <c r="A10" s="1559"/>
      <c r="B10" s="1560"/>
      <c r="C10" s="156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2"/>
      <c r="Q10" s="102"/>
      <c r="R10" s="102"/>
      <c r="S10" s="103"/>
      <c r="T10" s="103"/>
      <c r="U10" s="280"/>
      <c r="V10" s="281"/>
      <c r="W10" s="104"/>
      <c r="X10" s="104"/>
      <c r="Y10" s="1582"/>
      <c r="Z10" s="1582"/>
      <c r="AA10" s="105"/>
      <c r="AB10" s="106"/>
      <c r="AC10" s="107" t="s">
        <v>131</v>
      </c>
    </row>
    <row r="11" spans="1:29" s="3" customFormat="1" ht="15.75" thickBot="1" x14ac:dyDescent="0.3">
      <c r="A11" s="309"/>
      <c r="B11" s="310" t="s">
        <v>105</v>
      </c>
      <c r="C11" s="311" t="s">
        <v>106</v>
      </c>
      <c r="D11" s="1579" t="s">
        <v>107</v>
      </c>
      <c r="E11" s="1580"/>
      <c r="F11" s="1580"/>
      <c r="G11" s="1581"/>
      <c r="H11" s="1584" t="s">
        <v>191</v>
      </c>
      <c r="I11" s="1585"/>
      <c r="J11" s="1585"/>
      <c r="K11" s="1586"/>
      <c r="L11" s="1587" t="s">
        <v>192</v>
      </c>
      <c r="M11" s="1588"/>
      <c r="N11" s="1588"/>
      <c r="O11" s="1589"/>
      <c r="P11" s="1579" t="s">
        <v>193</v>
      </c>
      <c r="Q11" s="1580"/>
      <c r="R11" s="1581"/>
      <c r="S11" s="1579" t="s">
        <v>108</v>
      </c>
      <c r="T11" s="1580"/>
      <c r="U11" s="1581"/>
      <c r="V11" s="312" t="s">
        <v>186</v>
      </c>
      <c r="W11" s="313" t="s">
        <v>111</v>
      </c>
      <c r="X11" s="314" t="s">
        <v>112</v>
      </c>
    </row>
    <row r="12" spans="1:29" s="3" customFormat="1" ht="14.25" x14ac:dyDescent="0.2">
      <c r="A12" s="1445" t="s">
        <v>220</v>
      </c>
      <c r="B12" s="576"/>
      <c r="C12" s="328"/>
      <c r="D12" s="1469"/>
      <c r="E12" s="1470"/>
      <c r="F12" s="1470"/>
      <c r="G12" s="1471"/>
      <c r="H12" s="1574"/>
      <c r="I12" s="1574"/>
      <c r="J12" s="1574"/>
      <c r="K12" s="1574"/>
      <c r="L12" s="1575"/>
      <c r="M12" s="1575"/>
      <c r="N12" s="1575"/>
      <c r="O12" s="1575"/>
      <c r="P12" s="1564"/>
      <c r="Q12" s="1565"/>
      <c r="R12" s="1566"/>
      <c r="S12" s="1576">
        <v>27</v>
      </c>
      <c r="T12" s="1577"/>
      <c r="U12" s="1578"/>
      <c r="V12" s="315">
        <f>SUM(H12+L12+P12)</f>
        <v>0</v>
      </c>
      <c r="W12" s="316">
        <f>V12*S12</f>
        <v>0</v>
      </c>
      <c r="X12" s="317"/>
    </row>
    <row r="13" spans="1:29" s="3" customFormat="1" ht="14.25" x14ac:dyDescent="0.2">
      <c r="A13" s="1446"/>
      <c r="B13" s="577"/>
      <c r="C13" s="334"/>
      <c r="D13" s="1454"/>
      <c r="E13" s="1455"/>
      <c r="F13" s="1455"/>
      <c r="G13" s="1456"/>
      <c r="H13" s="1562"/>
      <c r="I13" s="1562"/>
      <c r="J13" s="1562"/>
      <c r="K13" s="1562"/>
      <c r="L13" s="1563"/>
      <c r="M13" s="1563"/>
      <c r="N13" s="1563"/>
      <c r="O13" s="1563"/>
      <c r="P13" s="1564"/>
      <c r="Q13" s="1565"/>
      <c r="R13" s="1566"/>
      <c r="S13" s="1567">
        <v>27</v>
      </c>
      <c r="T13" s="1568"/>
      <c r="U13" s="1569"/>
      <c r="V13" s="318">
        <f>SUM(H13+L13+P13)</f>
        <v>0</v>
      </c>
      <c r="W13" s="319">
        <f>V13*S13</f>
        <v>0</v>
      </c>
      <c r="X13" s="317"/>
    </row>
    <row r="14" spans="1:29" s="3" customFormat="1" ht="15" x14ac:dyDescent="0.25">
      <c r="A14" s="1447"/>
      <c r="B14" s="768"/>
      <c r="C14" s="769"/>
      <c r="D14" s="770"/>
      <c r="E14" s="771"/>
      <c r="F14" s="771"/>
      <c r="G14" s="772"/>
      <c r="H14" s="1570"/>
      <c r="I14" s="1570"/>
      <c r="J14" s="1570"/>
      <c r="K14" s="1570"/>
      <c r="L14" s="1570"/>
      <c r="M14" s="1570"/>
      <c r="N14" s="1570"/>
      <c r="O14" s="1570"/>
      <c r="P14" s="1564"/>
      <c r="Q14" s="1565"/>
      <c r="R14" s="1566"/>
      <c r="S14" s="1571"/>
      <c r="T14" s="1572"/>
      <c r="U14" s="1573"/>
      <c r="V14" s="766"/>
      <c r="W14" s="767"/>
      <c r="X14" s="317"/>
    </row>
    <row r="15" spans="1:29" s="3" customFormat="1" ht="15.75" thickBot="1" x14ac:dyDescent="0.3">
      <c r="A15" s="320"/>
      <c r="B15" s="1553" t="s">
        <v>227</v>
      </c>
      <c r="C15" s="1554"/>
      <c r="D15" s="1554"/>
      <c r="E15" s="1554"/>
      <c r="F15" s="1554"/>
      <c r="G15" s="1554"/>
      <c r="H15" s="1554"/>
      <c r="I15" s="1554"/>
      <c r="J15" s="1554"/>
      <c r="K15" s="1554"/>
      <c r="L15" s="1554"/>
      <c r="M15" s="1554"/>
      <c r="N15" s="1554"/>
      <c r="O15" s="1554"/>
      <c r="P15" s="1554"/>
      <c r="Q15" s="1554"/>
      <c r="R15" s="1554"/>
      <c r="S15" s="1554"/>
      <c r="T15" s="1554"/>
      <c r="U15" s="1555"/>
      <c r="V15" s="321">
        <f>SUM(V12:V14)</f>
        <v>0</v>
      </c>
      <c r="W15" s="322">
        <f>SUM(W12:W14)</f>
        <v>0</v>
      </c>
      <c r="X15" s="323"/>
    </row>
  </sheetData>
  <mergeCells count="47">
    <mergeCell ref="U4:V4"/>
    <mergeCell ref="U5:V5"/>
    <mergeCell ref="U6:V6"/>
    <mergeCell ref="B1:R3"/>
    <mergeCell ref="G4:L4"/>
    <mergeCell ref="G5:L5"/>
    <mergeCell ref="G6:L6"/>
    <mergeCell ref="P5:Q6"/>
    <mergeCell ref="C4:D4"/>
    <mergeCell ref="C5:D5"/>
    <mergeCell ref="C6:D6"/>
    <mergeCell ref="E4:F4"/>
    <mergeCell ref="E5:F5"/>
    <mergeCell ref="E6:F6"/>
    <mergeCell ref="D11:G11"/>
    <mergeCell ref="Y10:Z10"/>
    <mergeCell ref="U7:V7"/>
    <mergeCell ref="U9:V9"/>
    <mergeCell ref="E7:F7"/>
    <mergeCell ref="G7:L7"/>
    <mergeCell ref="E8:F8"/>
    <mergeCell ref="H11:K11"/>
    <mergeCell ref="L11:O11"/>
    <mergeCell ref="H8:I8"/>
    <mergeCell ref="J8:L8"/>
    <mergeCell ref="H12:K12"/>
    <mergeCell ref="L12:O12"/>
    <mergeCell ref="P12:R12"/>
    <mergeCell ref="S12:U12"/>
    <mergeCell ref="P11:R11"/>
    <mergeCell ref="S11:U11"/>
    <mergeCell ref="A12:A14"/>
    <mergeCell ref="B15:U15"/>
    <mergeCell ref="D12:G12"/>
    <mergeCell ref="D13:G13"/>
    <mergeCell ref="S4:T4"/>
    <mergeCell ref="S5:T5"/>
    <mergeCell ref="S6:T6"/>
    <mergeCell ref="A9:C10"/>
    <mergeCell ref="H13:K13"/>
    <mergeCell ref="L13:O13"/>
    <mergeCell ref="P13:R13"/>
    <mergeCell ref="S13:U13"/>
    <mergeCell ref="H14:K14"/>
    <mergeCell ref="L14:O14"/>
    <mergeCell ref="P14:R14"/>
    <mergeCell ref="S14:U14"/>
  </mergeCells>
  <dataValidations count="1">
    <dataValidation type="list" allowBlank="1" showInputMessage="1" showErrorMessage="1" sqref="AA9" xr:uid="{00000000-0002-0000-0A00-000000000000}">
      <formula1>#REF!</formula1>
    </dataValidation>
  </dataValidations>
  <pageMargins left="0.7" right="0.7" top="0.75" bottom="0.75" header="0.3" footer="0.3"/>
  <pageSetup scale="71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84"/>
  <sheetViews>
    <sheetView topLeftCell="F1" workbookViewId="0">
      <pane ySplit="2" topLeftCell="A61" activePane="bottomLeft" state="frozen"/>
      <selection pane="bottomLeft" activeCell="M79" sqref="M79"/>
    </sheetView>
  </sheetViews>
  <sheetFormatPr defaultRowHeight="12.75" x14ac:dyDescent="0.2"/>
  <cols>
    <col min="2" max="2" width="14" customWidth="1"/>
    <col min="5" max="5" width="16" customWidth="1"/>
  </cols>
  <sheetData>
    <row r="1" spans="1:26" ht="15" x14ac:dyDescent="0.2">
      <c r="E1" s="394" t="s">
        <v>194</v>
      </c>
      <c r="F1" s="395">
        <v>2</v>
      </c>
      <c r="G1" s="395">
        <v>3</v>
      </c>
      <c r="H1" s="395">
        <v>4</v>
      </c>
      <c r="I1" s="395">
        <v>5</v>
      </c>
      <c r="J1" s="395">
        <v>6</v>
      </c>
      <c r="K1" s="395">
        <v>7</v>
      </c>
      <c r="L1" s="395">
        <v>8</v>
      </c>
      <c r="M1" s="395">
        <v>9</v>
      </c>
      <c r="N1" s="395">
        <v>10</v>
      </c>
      <c r="O1" s="395">
        <v>11</v>
      </c>
      <c r="P1" s="395">
        <v>12</v>
      </c>
      <c r="Q1" s="395">
        <v>13</v>
      </c>
      <c r="R1" s="395">
        <v>14</v>
      </c>
      <c r="S1" s="395">
        <v>15</v>
      </c>
      <c r="T1" s="395">
        <v>16</v>
      </c>
      <c r="U1" s="395">
        <v>17</v>
      </c>
      <c r="V1" s="395">
        <v>18</v>
      </c>
      <c r="W1" s="396">
        <v>19</v>
      </c>
      <c r="X1" s="396">
        <v>20</v>
      </c>
    </row>
    <row r="2" spans="1:26" ht="15" x14ac:dyDescent="0.25">
      <c r="A2" s="397" t="s">
        <v>37</v>
      </c>
      <c r="B2" s="397" t="s">
        <v>66</v>
      </c>
      <c r="C2" s="702" t="s">
        <v>67</v>
      </c>
      <c r="D2" s="397" t="s">
        <v>40</v>
      </c>
      <c r="E2" s="398" t="s">
        <v>195</v>
      </c>
      <c r="F2" s="399">
        <v>5</v>
      </c>
      <c r="G2" s="399">
        <v>5.5</v>
      </c>
      <c r="H2" s="399">
        <v>6</v>
      </c>
      <c r="I2" s="399">
        <v>6.5</v>
      </c>
      <c r="J2" s="399">
        <v>7</v>
      </c>
      <c r="K2" s="399">
        <v>7.5</v>
      </c>
      <c r="L2" s="399">
        <v>8</v>
      </c>
      <c r="M2" s="399">
        <v>8.5</v>
      </c>
      <c r="N2" s="399">
        <v>9</v>
      </c>
      <c r="O2" s="399">
        <v>9.5</v>
      </c>
      <c r="P2" s="399">
        <v>10</v>
      </c>
      <c r="Q2" s="399">
        <v>10.5</v>
      </c>
      <c r="R2" s="399">
        <v>11</v>
      </c>
      <c r="S2" s="399">
        <v>11.5</v>
      </c>
      <c r="T2" s="399">
        <v>12</v>
      </c>
      <c r="U2" s="399">
        <v>13</v>
      </c>
      <c r="V2" s="399">
        <v>14</v>
      </c>
      <c r="W2" s="399">
        <v>15</v>
      </c>
      <c r="X2" s="399">
        <v>16</v>
      </c>
      <c r="Y2" s="397" t="s">
        <v>94</v>
      </c>
      <c r="Z2" s="397"/>
    </row>
    <row r="3" spans="1:26" ht="15" x14ac:dyDescent="0.25">
      <c r="A3" s="400" t="s">
        <v>21</v>
      </c>
      <c r="B3" s="401" t="s">
        <v>9</v>
      </c>
      <c r="C3" s="703" t="s">
        <v>10</v>
      </c>
      <c r="D3" s="702" t="s">
        <v>26</v>
      </c>
      <c r="E3" s="704" t="str">
        <f t="shared" ref="E3:E54" si="0">A3&amp;B3&amp;C3&amp;D3</f>
        <v>ARWBRMB</v>
      </c>
      <c r="F3" s="397"/>
      <c r="G3" s="397"/>
      <c r="H3" s="397"/>
      <c r="I3" s="397"/>
      <c r="J3" s="397"/>
      <c r="K3" s="397"/>
      <c r="L3" s="397"/>
      <c r="M3" s="397"/>
      <c r="N3" s="688">
        <v>1</v>
      </c>
      <c r="O3" s="688">
        <v>1</v>
      </c>
      <c r="P3" s="688">
        <v>1</v>
      </c>
      <c r="Q3" s="688">
        <v>1</v>
      </c>
      <c r="R3" s="688">
        <v>1</v>
      </c>
      <c r="S3" s="688"/>
      <c r="T3" s="688">
        <v>1</v>
      </c>
      <c r="U3" s="397"/>
      <c r="V3" s="397"/>
      <c r="W3" s="397"/>
      <c r="X3" s="397"/>
      <c r="Y3" s="397">
        <f t="shared" ref="Y3:Y34" si="1">SUM(F3:X3)</f>
        <v>6</v>
      </c>
      <c r="Z3" s="1596">
        <f>SUM(Y3:Y5)</f>
        <v>37</v>
      </c>
    </row>
    <row r="4" spans="1:26" ht="15" x14ac:dyDescent="0.25">
      <c r="A4" s="400" t="s">
        <v>21</v>
      </c>
      <c r="B4" s="401" t="s">
        <v>9</v>
      </c>
      <c r="C4" s="703" t="s">
        <v>10</v>
      </c>
      <c r="D4" s="397" t="s">
        <v>35</v>
      </c>
      <c r="E4" s="704" t="str">
        <f t="shared" si="0"/>
        <v>ARWBRMD</v>
      </c>
      <c r="F4" s="397"/>
      <c r="G4" s="397"/>
      <c r="H4" s="397"/>
      <c r="I4" s="397"/>
      <c r="J4" s="397"/>
      <c r="K4" s="397"/>
      <c r="L4" s="397">
        <v>1</v>
      </c>
      <c r="M4" s="397">
        <v>1</v>
      </c>
      <c r="N4" s="397">
        <v>2</v>
      </c>
      <c r="O4" s="397">
        <v>2</v>
      </c>
      <c r="P4" s="397">
        <v>3</v>
      </c>
      <c r="Q4" s="397">
        <v>3</v>
      </c>
      <c r="R4" s="397">
        <v>3</v>
      </c>
      <c r="S4" s="397">
        <v>1</v>
      </c>
      <c r="T4" s="397">
        <v>2</v>
      </c>
      <c r="U4" s="397">
        <v>1</v>
      </c>
      <c r="V4" s="397"/>
      <c r="W4" s="397"/>
      <c r="X4" s="397"/>
      <c r="Y4" s="397">
        <f t="shared" si="1"/>
        <v>19</v>
      </c>
      <c r="Z4" s="1596"/>
    </row>
    <row r="5" spans="1:26" s="692" customFormat="1" ht="15" x14ac:dyDescent="0.25">
      <c r="A5" s="689" t="s">
        <v>21</v>
      </c>
      <c r="B5" s="690" t="s">
        <v>9</v>
      </c>
      <c r="C5" s="705" t="s">
        <v>10</v>
      </c>
      <c r="D5" s="688" t="s">
        <v>68</v>
      </c>
      <c r="E5" s="706" t="str">
        <f t="shared" si="0"/>
        <v>ARWBRME2</v>
      </c>
      <c r="F5" s="688"/>
      <c r="G5" s="688"/>
      <c r="H5" s="688"/>
      <c r="I5" s="688"/>
      <c r="J5" s="688"/>
      <c r="K5" s="688"/>
      <c r="L5" s="688"/>
      <c r="M5" s="688">
        <v>1</v>
      </c>
      <c r="N5" s="688">
        <v>1</v>
      </c>
      <c r="O5" s="688">
        <v>1</v>
      </c>
      <c r="P5" s="688">
        <v>2</v>
      </c>
      <c r="Q5" s="688">
        <v>2</v>
      </c>
      <c r="R5" s="688">
        <v>2</v>
      </c>
      <c r="S5" s="688">
        <v>1</v>
      </c>
      <c r="T5" s="688">
        <v>1</v>
      </c>
      <c r="U5" s="688">
        <v>1</v>
      </c>
      <c r="V5" s="688"/>
      <c r="W5" s="688"/>
      <c r="X5" s="691"/>
      <c r="Y5" s="688">
        <f t="shared" si="1"/>
        <v>12</v>
      </c>
      <c r="Z5" s="1597"/>
    </row>
    <row r="6" spans="1:26" s="696" customFormat="1" ht="15" x14ac:dyDescent="0.25">
      <c r="A6" s="693" t="s">
        <v>21</v>
      </c>
      <c r="B6" s="694" t="s">
        <v>9</v>
      </c>
      <c r="C6" s="707" t="s">
        <v>10</v>
      </c>
      <c r="D6" s="695" t="s">
        <v>35</v>
      </c>
      <c r="E6" s="708" t="str">
        <f t="shared" si="0"/>
        <v>ARWBRMD</v>
      </c>
      <c r="F6" s="695"/>
      <c r="G6" s="695"/>
      <c r="H6" s="695"/>
      <c r="I6" s="695"/>
      <c r="J6" s="695"/>
      <c r="K6" s="695"/>
      <c r="L6" s="695">
        <v>1</v>
      </c>
      <c r="M6" s="695">
        <v>1</v>
      </c>
      <c r="N6" s="695">
        <v>2</v>
      </c>
      <c r="O6" s="695">
        <v>2</v>
      </c>
      <c r="P6" s="695">
        <v>3</v>
      </c>
      <c r="Q6" s="695">
        <v>3</v>
      </c>
      <c r="R6" s="695">
        <v>3</v>
      </c>
      <c r="S6" s="695">
        <v>1</v>
      </c>
      <c r="T6" s="695">
        <v>2</v>
      </c>
      <c r="U6" s="695">
        <v>1</v>
      </c>
      <c r="V6" s="695"/>
      <c r="W6" s="695"/>
      <c r="X6" s="695"/>
      <c r="Y6" s="695">
        <f t="shared" si="1"/>
        <v>19</v>
      </c>
      <c r="Z6" s="1598">
        <f>+Y6+Y7+Y8</f>
        <v>37</v>
      </c>
    </row>
    <row r="7" spans="1:26" ht="15" x14ac:dyDescent="0.25">
      <c r="A7" s="400" t="s">
        <v>21</v>
      </c>
      <c r="B7" s="401" t="s">
        <v>9</v>
      </c>
      <c r="C7" s="703" t="s">
        <v>10</v>
      </c>
      <c r="D7" s="397" t="s">
        <v>68</v>
      </c>
      <c r="E7" s="704" t="str">
        <f t="shared" si="0"/>
        <v>ARWBRME2</v>
      </c>
      <c r="F7" s="397"/>
      <c r="G7" s="397"/>
      <c r="H7" s="397"/>
      <c r="I7" s="397"/>
      <c r="J7" s="397"/>
      <c r="K7" s="397"/>
      <c r="L7" s="397"/>
      <c r="M7" s="397">
        <v>1</v>
      </c>
      <c r="N7" s="397">
        <v>1</v>
      </c>
      <c r="O7" s="397">
        <v>1</v>
      </c>
      <c r="P7" s="397">
        <v>2</v>
      </c>
      <c r="Q7" s="397">
        <v>2</v>
      </c>
      <c r="R7" s="397">
        <v>2</v>
      </c>
      <c r="S7" s="397">
        <v>1</v>
      </c>
      <c r="T7" s="397">
        <v>1</v>
      </c>
      <c r="U7" s="397">
        <v>1</v>
      </c>
      <c r="V7" s="397"/>
      <c r="W7" s="397"/>
      <c r="X7" s="402"/>
      <c r="Y7" s="397">
        <f t="shared" si="1"/>
        <v>12</v>
      </c>
      <c r="Z7" s="1599"/>
    </row>
    <row r="8" spans="1:26" s="692" customFormat="1" ht="15" x14ac:dyDescent="0.25">
      <c r="A8" s="689" t="s">
        <v>21</v>
      </c>
      <c r="B8" s="690" t="s">
        <v>9</v>
      </c>
      <c r="C8" s="705" t="s">
        <v>10</v>
      </c>
      <c r="D8" s="688" t="s">
        <v>69</v>
      </c>
      <c r="E8" s="706" t="str">
        <f t="shared" si="0"/>
        <v>ARWBRMH</v>
      </c>
      <c r="F8" s="691"/>
      <c r="G8" s="691"/>
      <c r="H8" s="691"/>
      <c r="I8" s="691"/>
      <c r="J8" s="691"/>
      <c r="K8" s="691"/>
      <c r="L8" s="688"/>
      <c r="M8" s="688"/>
      <c r="N8" s="688">
        <v>1</v>
      </c>
      <c r="O8" s="688">
        <v>1</v>
      </c>
      <c r="P8" s="688">
        <v>1</v>
      </c>
      <c r="Q8" s="688">
        <v>1</v>
      </c>
      <c r="R8" s="688">
        <v>1</v>
      </c>
      <c r="S8" s="688"/>
      <c r="T8" s="688">
        <v>1</v>
      </c>
      <c r="U8" s="688"/>
      <c r="V8" s="691"/>
      <c r="W8" s="691"/>
      <c r="X8" s="691"/>
      <c r="Y8" s="688">
        <f t="shared" si="1"/>
        <v>6</v>
      </c>
      <c r="Z8" s="1600"/>
    </row>
    <row r="9" spans="1:26" s="696" customFormat="1" ht="15" x14ac:dyDescent="0.25">
      <c r="A9" s="693" t="s">
        <v>21</v>
      </c>
      <c r="B9" s="694" t="s">
        <v>9</v>
      </c>
      <c r="C9" s="707" t="s">
        <v>10</v>
      </c>
      <c r="D9" s="695" t="s">
        <v>35</v>
      </c>
      <c r="E9" s="708" t="str">
        <f t="shared" si="0"/>
        <v>ARWBRMD</v>
      </c>
      <c r="F9" s="695"/>
      <c r="G9" s="695"/>
      <c r="H9" s="695"/>
      <c r="I9" s="695"/>
      <c r="J9" s="695"/>
      <c r="K9" s="695"/>
      <c r="L9" s="695">
        <v>1</v>
      </c>
      <c r="M9" s="695">
        <v>1</v>
      </c>
      <c r="N9" s="695">
        <v>2</v>
      </c>
      <c r="O9" s="695">
        <v>2</v>
      </c>
      <c r="P9" s="695">
        <v>3</v>
      </c>
      <c r="Q9" s="695">
        <v>3</v>
      </c>
      <c r="R9" s="695">
        <v>3</v>
      </c>
      <c r="S9" s="695">
        <v>1</v>
      </c>
      <c r="T9" s="695">
        <v>2</v>
      </c>
      <c r="U9" s="695">
        <v>1</v>
      </c>
      <c r="V9" s="695"/>
      <c r="W9" s="695"/>
      <c r="X9" s="695"/>
      <c r="Y9" s="695">
        <f t="shared" si="1"/>
        <v>19</v>
      </c>
      <c r="Z9" s="1598">
        <f>+Y9+Y10+Y11</f>
        <v>37</v>
      </c>
    </row>
    <row r="10" spans="1:26" ht="15" x14ac:dyDescent="0.25">
      <c r="A10" s="400" t="s">
        <v>21</v>
      </c>
      <c r="B10" s="401" t="s">
        <v>9</v>
      </c>
      <c r="C10" s="703" t="s">
        <v>10</v>
      </c>
      <c r="D10" s="397" t="s">
        <v>68</v>
      </c>
      <c r="E10" s="704" t="str">
        <f t="shared" si="0"/>
        <v>ARWBRME2</v>
      </c>
      <c r="F10" s="397"/>
      <c r="G10" s="397"/>
      <c r="H10" s="397"/>
      <c r="I10" s="397"/>
      <c r="J10" s="397"/>
      <c r="K10" s="397"/>
      <c r="L10" s="397"/>
      <c r="M10" s="397">
        <v>1</v>
      </c>
      <c r="N10" s="397">
        <v>1</v>
      </c>
      <c r="O10" s="397">
        <v>1</v>
      </c>
      <c r="P10" s="397">
        <v>2</v>
      </c>
      <c r="Q10" s="397">
        <v>2</v>
      </c>
      <c r="R10" s="397">
        <v>2</v>
      </c>
      <c r="S10" s="397">
        <v>1</v>
      </c>
      <c r="T10" s="397">
        <v>1</v>
      </c>
      <c r="U10" s="397">
        <v>1</v>
      </c>
      <c r="V10" s="397"/>
      <c r="W10" s="397"/>
      <c r="X10" s="402"/>
      <c r="Y10" s="397">
        <f t="shared" si="1"/>
        <v>12</v>
      </c>
      <c r="Z10" s="1599"/>
    </row>
    <row r="11" spans="1:26" s="692" customFormat="1" ht="15.75" customHeight="1" x14ac:dyDescent="0.25">
      <c r="A11" s="689" t="s">
        <v>21</v>
      </c>
      <c r="B11" s="690" t="s">
        <v>9</v>
      </c>
      <c r="C11" s="705" t="s">
        <v>10</v>
      </c>
      <c r="D11" s="709" t="s">
        <v>92</v>
      </c>
      <c r="E11" s="706" t="str">
        <f t="shared" si="0"/>
        <v>ARWBRME3</v>
      </c>
      <c r="F11" s="691"/>
      <c r="G11" s="691"/>
      <c r="H11" s="691"/>
      <c r="I11" s="691"/>
      <c r="J11" s="691"/>
      <c r="K11" s="691"/>
      <c r="L11" s="688"/>
      <c r="M11" s="688"/>
      <c r="N11" s="688">
        <v>1</v>
      </c>
      <c r="O11" s="688">
        <v>1</v>
      </c>
      <c r="P11" s="688">
        <v>1</v>
      </c>
      <c r="Q11" s="688">
        <v>1</v>
      </c>
      <c r="R11" s="688">
        <v>1</v>
      </c>
      <c r="S11" s="688"/>
      <c r="T11" s="688">
        <v>1</v>
      </c>
      <c r="U11" s="688"/>
      <c r="V11" s="691"/>
      <c r="W11" s="691"/>
      <c r="X11" s="691"/>
      <c r="Y11" s="688">
        <f t="shared" si="1"/>
        <v>6</v>
      </c>
      <c r="Z11" s="1600"/>
    </row>
    <row r="12" spans="1:26" s="696" customFormat="1" ht="15" x14ac:dyDescent="0.25">
      <c r="A12" s="707" t="s">
        <v>26</v>
      </c>
      <c r="B12" s="694" t="s">
        <v>9</v>
      </c>
      <c r="C12" s="707" t="s">
        <v>10</v>
      </c>
      <c r="D12" s="710" t="s">
        <v>26</v>
      </c>
      <c r="E12" s="708" t="str">
        <f t="shared" si="0"/>
        <v>BRWBRMB</v>
      </c>
      <c r="F12" s="695"/>
      <c r="G12" s="695"/>
      <c r="H12" s="695"/>
      <c r="I12" s="695"/>
      <c r="J12" s="695"/>
      <c r="K12" s="695"/>
      <c r="L12" s="695"/>
      <c r="M12" s="695"/>
      <c r="N12" s="695"/>
      <c r="O12" s="695"/>
      <c r="P12" s="695"/>
      <c r="Q12" s="695"/>
      <c r="R12" s="695"/>
      <c r="S12" s="695"/>
      <c r="T12" s="695"/>
      <c r="U12" s="695"/>
      <c r="V12" s="695"/>
      <c r="W12" s="695"/>
      <c r="X12" s="695"/>
      <c r="Y12" s="695">
        <f t="shared" si="1"/>
        <v>0</v>
      </c>
      <c r="Z12" s="1601">
        <f>SUM(Y12:Y14)</f>
        <v>27</v>
      </c>
    </row>
    <row r="13" spans="1:26" ht="15" x14ac:dyDescent="0.25">
      <c r="A13" s="703" t="s">
        <v>26</v>
      </c>
      <c r="B13" s="401" t="s">
        <v>9</v>
      </c>
      <c r="C13" s="703" t="s">
        <v>10</v>
      </c>
      <c r="D13" s="397" t="s">
        <v>35</v>
      </c>
      <c r="E13" s="704" t="str">
        <f t="shared" si="0"/>
        <v>BRWBRMD</v>
      </c>
      <c r="F13" s="397"/>
      <c r="G13" s="397"/>
      <c r="H13" s="397"/>
      <c r="I13" s="397"/>
      <c r="J13" s="397"/>
      <c r="K13" s="397"/>
      <c r="L13" s="397"/>
      <c r="M13" s="397">
        <v>1</v>
      </c>
      <c r="N13" s="397">
        <v>2</v>
      </c>
      <c r="O13" s="397">
        <v>2</v>
      </c>
      <c r="P13" s="397">
        <v>3</v>
      </c>
      <c r="Q13" s="397">
        <v>3</v>
      </c>
      <c r="R13" s="397">
        <v>3</v>
      </c>
      <c r="S13" s="397">
        <v>1</v>
      </c>
      <c r="T13" s="397">
        <v>2</v>
      </c>
      <c r="U13" s="397">
        <v>1</v>
      </c>
      <c r="V13" s="397"/>
      <c r="W13" s="397"/>
      <c r="X13" s="397"/>
      <c r="Y13" s="397">
        <f t="shared" si="1"/>
        <v>18</v>
      </c>
      <c r="Z13" s="1596"/>
    </row>
    <row r="14" spans="1:26" s="692" customFormat="1" ht="15" x14ac:dyDescent="0.25">
      <c r="A14" s="705" t="s">
        <v>26</v>
      </c>
      <c r="B14" s="690" t="s">
        <v>9</v>
      </c>
      <c r="C14" s="705" t="s">
        <v>10</v>
      </c>
      <c r="D14" s="688" t="s">
        <v>68</v>
      </c>
      <c r="E14" s="706" t="str">
        <f t="shared" si="0"/>
        <v>BRWBRME2</v>
      </c>
      <c r="F14" s="688"/>
      <c r="G14" s="688"/>
      <c r="H14" s="688"/>
      <c r="I14" s="688"/>
      <c r="J14" s="688"/>
      <c r="K14" s="688"/>
      <c r="L14" s="688"/>
      <c r="M14" s="688"/>
      <c r="N14" s="688"/>
      <c r="O14" s="688">
        <v>1</v>
      </c>
      <c r="P14" s="688">
        <v>2</v>
      </c>
      <c r="Q14" s="688">
        <v>2</v>
      </c>
      <c r="R14" s="688">
        <v>2</v>
      </c>
      <c r="S14" s="688">
        <v>1</v>
      </c>
      <c r="T14" s="688">
        <v>1</v>
      </c>
      <c r="U14" s="688"/>
      <c r="V14" s="688"/>
      <c r="W14" s="688"/>
      <c r="X14" s="691"/>
      <c r="Y14" s="688">
        <f t="shared" si="1"/>
        <v>9</v>
      </c>
      <c r="Z14" s="1597"/>
    </row>
    <row r="15" spans="1:26" s="696" customFormat="1" ht="15" x14ac:dyDescent="0.25">
      <c r="A15" s="707" t="s">
        <v>26</v>
      </c>
      <c r="B15" s="694" t="s">
        <v>9</v>
      </c>
      <c r="C15" s="707" t="s">
        <v>10</v>
      </c>
      <c r="D15" s="695" t="s">
        <v>35</v>
      </c>
      <c r="E15" s="708" t="str">
        <f t="shared" si="0"/>
        <v>BRWBRMD</v>
      </c>
      <c r="F15" s="695"/>
      <c r="G15" s="695"/>
      <c r="H15" s="695"/>
      <c r="I15" s="695"/>
      <c r="J15" s="695"/>
      <c r="K15" s="695"/>
      <c r="L15" s="695"/>
      <c r="M15" s="695">
        <v>1</v>
      </c>
      <c r="N15" s="695">
        <v>2</v>
      </c>
      <c r="O15" s="695">
        <v>2</v>
      </c>
      <c r="P15" s="695">
        <v>3</v>
      </c>
      <c r="Q15" s="695">
        <v>3</v>
      </c>
      <c r="R15" s="695">
        <v>3</v>
      </c>
      <c r="S15" s="695">
        <v>1</v>
      </c>
      <c r="T15" s="695">
        <v>2</v>
      </c>
      <c r="U15" s="695">
        <v>1</v>
      </c>
      <c r="V15" s="695"/>
      <c r="W15" s="695"/>
      <c r="X15" s="695"/>
      <c r="Y15" s="695">
        <f t="shared" si="1"/>
        <v>18</v>
      </c>
      <c r="Z15" s="1598">
        <f>+Y15+Y16+Y17</f>
        <v>27</v>
      </c>
    </row>
    <row r="16" spans="1:26" ht="15" x14ac:dyDescent="0.25">
      <c r="A16" s="703" t="s">
        <v>26</v>
      </c>
      <c r="B16" s="401" t="s">
        <v>9</v>
      </c>
      <c r="C16" s="703" t="s">
        <v>10</v>
      </c>
      <c r="D16" s="397" t="s">
        <v>68</v>
      </c>
      <c r="E16" s="704" t="str">
        <f t="shared" si="0"/>
        <v>BRWBRME2</v>
      </c>
      <c r="F16" s="397"/>
      <c r="G16" s="397"/>
      <c r="H16" s="397"/>
      <c r="I16" s="397"/>
      <c r="J16" s="397"/>
      <c r="K16" s="397"/>
      <c r="L16" s="397"/>
      <c r="M16" s="397"/>
      <c r="N16" s="397"/>
      <c r="O16" s="397">
        <v>1</v>
      </c>
      <c r="P16" s="397">
        <v>2</v>
      </c>
      <c r="Q16" s="397">
        <v>2</v>
      </c>
      <c r="R16" s="397">
        <v>2</v>
      </c>
      <c r="S16" s="397">
        <v>1</v>
      </c>
      <c r="T16" s="397">
        <v>1</v>
      </c>
      <c r="U16" s="397"/>
      <c r="V16" s="397"/>
      <c r="W16" s="397"/>
      <c r="X16" s="402"/>
      <c r="Y16" s="397">
        <f t="shared" si="1"/>
        <v>9</v>
      </c>
      <c r="Z16" s="1599"/>
    </row>
    <row r="17" spans="1:26" s="692" customFormat="1" ht="15" x14ac:dyDescent="0.25">
      <c r="A17" s="705" t="s">
        <v>26</v>
      </c>
      <c r="B17" s="690" t="s">
        <v>9</v>
      </c>
      <c r="C17" s="705" t="s">
        <v>10</v>
      </c>
      <c r="D17" s="688" t="s">
        <v>69</v>
      </c>
      <c r="E17" s="706" t="str">
        <f t="shared" si="0"/>
        <v>BRWBRMH</v>
      </c>
      <c r="F17" s="691"/>
      <c r="G17" s="691"/>
      <c r="H17" s="691"/>
      <c r="I17" s="691"/>
      <c r="J17" s="691"/>
      <c r="K17" s="691"/>
      <c r="L17" s="688"/>
      <c r="M17" s="688"/>
      <c r="N17" s="688"/>
      <c r="O17" s="688"/>
      <c r="P17" s="688"/>
      <c r="Q17" s="688"/>
      <c r="R17" s="688"/>
      <c r="S17" s="688"/>
      <c r="T17" s="688"/>
      <c r="U17" s="688"/>
      <c r="V17" s="691"/>
      <c r="W17" s="691"/>
      <c r="X17" s="691"/>
      <c r="Y17" s="688">
        <f t="shared" si="1"/>
        <v>0</v>
      </c>
      <c r="Z17" s="1600"/>
    </row>
    <row r="18" spans="1:26" s="696" customFormat="1" ht="15" x14ac:dyDescent="0.25">
      <c r="A18" s="707" t="s">
        <v>26</v>
      </c>
      <c r="B18" s="694" t="s">
        <v>9</v>
      </c>
      <c r="C18" s="707" t="s">
        <v>10</v>
      </c>
      <c r="D18" s="695" t="s">
        <v>35</v>
      </c>
      <c r="E18" s="708" t="str">
        <f t="shared" si="0"/>
        <v>BRWBRMD</v>
      </c>
      <c r="F18" s="695"/>
      <c r="G18" s="695"/>
      <c r="H18" s="695"/>
      <c r="I18" s="695"/>
      <c r="J18" s="695"/>
      <c r="K18" s="695"/>
      <c r="L18" s="695"/>
      <c r="M18" s="695">
        <v>1</v>
      </c>
      <c r="N18" s="695">
        <v>2</v>
      </c>
      <c r="O18" s="695">
        <v>2</v>
      </c>
      <c r="P18" s="695">
        <v>3</v>
      </c>
      <c r="Q18" s="695">
        <v>3</v>
      </c>
      <c r="R18" s="695">
        <v>3</v>
      </c>
      <c r="S18" s="695">
        <v>1</v>
      </c>
      <c r="T18" s="695">
        <v>2</v>
      </c>
      <c r="U18" s="695">
        <v>1</v>
      </c>
      <c r="V18" s="695"/>
      <c r="W18" s="695"/>
      <c r="X18" s="695"/>
      <c r="Y18" s="695">
        <f t="shared" si="1"/>
        <v>18</v>
      </c>
      <c r="Z18" s="1598">
        <f>+Y18+Y19+Y20</f>
        <v>27</v>
      </c>
    </row>
    <row r="19" spans="1:26" ht="15" x14ac:dyDescent="0.25">
      <c r="A19" s="703" t="s">
        <v>26</v>
      </c>
      <c r="B19" s="401" t="s">
        <v>9</v>
      </c>
      <c r="C19" s="703" t="s">
        <v>10</v>
      </c>
      <c r="D19" s="397" t="s">
        <v>68</v>
      </c>
      <c r="E19" s="704" t="str">
        <f t="shared" si="0"/>
        <v>BRWBRME2</v>
      </c>
      <c r="F19" s="397"/>
      <c r="G19" s="397"/>
      <c r="H19" s="397"/>
      <c r="I19" s="397"/>
      <c r="J19" s="397"/>
      <c r="K19" s="397"/>
      <c r="L19" s="397"/>
      <c r="M19" s="397"/>
      <c r="N19" s="397"/>
      <c r="O19" s="397">
        <v>1</v>
      </c>
      <c r="P19" s="397">
        <v>2</v>
      </c>
      <c r="Q19" s="397">
        <v>2</v>
      </c>
      <c r="R19" s="397">
        <v>2</v>
      </c>
      <c r="S19" s="397">
        <v>1</v>
      </c>
      <c r="T19" s="397">
        <v>1</v>
      </c>
      <c r="U19" s="397"/>
      <c r="V19" s="397"/>
      <c r="W19" s="397"/>
      <c r="X19" s="402"/>
      <c r="Y19" s="397">
        <f t="shared" si="1"/>
        <v>9</v>
      </c>
      <c r="Z19" s="1599"/>
    </row>
    <row r="20" spans="1:26" s="692" customFormat="1" ht="15" x14ac:dyDescent="0.25">
      <c r="A20" s="705" t="s">
        <v>26</v>
      </c>
      <c r="B20" s="690" t="s">
        <v>9</v>
      </c>
      <c r="C20" s="705" t="s">
        <v>10</v>
      </c>
      <c r="D20" s="709" t="s">
        <v>92</v>
      </c>
      <c r="E20" s="706" t="str">
        <f t="shared" si="0"/>
        <v>BRWBRME3</v>
      </c>
      <c r="F20" s="691"/>
      <c r="G20" s="691"/>
      <c r="H20" s="691"/>
      <c r="I20" s="691"/>
      <c r="J20" s="691"/>
      <c r="K20" s="691"/>
      <c r="L20" s="688"/>
      <c r="M20" s="688"/>
      <c r="N20" s="688"/>
      <c r="O20" s="688"/>
      <c r="P20" s="688"/>
      <c r="Q20" s="688"/>
      <c r="R20" s="688"/>
      <c r="S20" s="688"/>
      <c r="T20" s="688"/>
      <c r="U20" s="688"/>
      <c r="V20" s="691"/>
      <c r="W20" s="691"/>
      <c r="X20" s="691"/>
      <c r="Y20" s="688">
        <f t="shared" si="1"/>
        <v>0</v>
      </c>
      <c r="Z20" s="1600"/>
    </row>
    <row r="21" spans="1:26" s="696" customFormat="1" ht="15.75" customHeight="1" x14ac:dyDescent="0.25">
      <c r="A21" s="707" t="s">
        <v>32</v>
      </c>
      <c r="B21" s="694" t="s">
        <v>9</v>
      </c>
      <c r="C21" s="707" t="s">
        <v>10</v>
      </c>
      <c r="D21" s="710" t="s">
        <v>26</v>
      </c>
      <c r="E21" s="708" t="str">
        <f t="shared" si="0"/>
        <v>CRWBRMB</v>
      </c>
      <c r="F21" s="695"/>
      <c r="G21" s="695"/>
      <c r="H21" s="695"/>
      <c r="I21" s="695"/>
      <c r="J21" s="695"/>
      <c r="K21" s="695"/>
      <c r="L21" s="695"/>
      <c r="M21" s="695"/>
      <c r="N21" s="695"/>
      <c r="O21" s="695"/>
      <c r="P21" s="695"/>
      <c r="Q21" s="695"/>
      <c r="R21" s="695"/>
      <c r="S21" s="695"/>
      <c r="T21" s="695"/>
      <c r="U21" s="695"/>
      <c r="V21" s="695"/>
      <c r="W21" s="695"/>
      <c r="X21" s="695"/>
      <c r="Y21" s="695">
        <f t="shared" si="1"/>
        <v>0</v>
      </c>
      <c r="Z21" s="1598">
        <f>+Y21+Y22+Y23</f>
        <v>19</v>
      </c>
    </row>
    <row r="22" spans="1:26" ht="15" x14ac:dyDescent="0.25">
      <c r="A22" s="703" t="s">
        <v>32</v>
      </c>
      <c r="B22" s="401" t="s">
        <v>9</v>
      </c>
      <c r="C22" s="703" t="s">
        <v>10</v>
      </c>
      <c r="D22" s="702" t="s">
        <v>35</v>
      </c>
      <c r="E22" s="704" t="str">
        <f t="shared" si="0"/>
        <v>CRWBRMD</v>
      </c>
      <c r="F22" s="397"/>
      <c r="G22" s="397"/>
      <c r="H22" s="397"/>
      <c r="I22" s="397"/>
      <c r="J22" s="397"/>
      <c r="K22" s="397"/>
      <c r="L22" s="397"/>
      <c r="M22" s="397">
        <v>1</v>
      </c>
      <c r="N22" s="397">
        <v>1</v>
      </c>
      <c r="O22" s="397">
        <v>2</v>
      </c>
      <c r="P22" s="397">
        <v>2</v>
      </c>
      <c r="Q22" s="397">
        <v>2</v>
      </c>
      <c r="R22" s="397">
        <v>2</v>
      </c>
      <c r="S22" s="397">
        <v>1</v>
      </c>
      <c r="T22" s="397">
        <v>2</v>
      </c>
      <c r="U22" s="397"/>
      <c r="V22" s="397"/>
      <c r="W22" s="397"/>
      <c r="X22" s="402"/>
      <c r="Y22" s="397">
        <f t="shared" si="1"/>
        <v>13</v>
      </c>
      <c r="Z22" s="1599"/>
    </row>
    <row r="23" spans="1:26" s="692" customFormat="1" ht="15" x14ac:dyDescent="0.25">
      <c r="A23" s="705" t="s">
        <v>32</v>
      </c>
      <c r="B23" s="690" t="s">
        <v>9</v>
      </c>
      <c r="C23" s="705" t="s">
        <v>10</v>
      </c>
      <c r="D23" s="709" t="s">
        <v>68</v>
      </c>
      <c r="E23" s="706" t="str">
        <f t="shared" si="0"/>
        <v>CRWBRME2</v>
      </c>
      <c r="F23" s="691"/>
      <c r="G23" s="691"/>
      <c r="H23" s="691"/>
      <c r="I23" s="691"/>
      <c r="J23" s="691"/>
      <c r="K23" s="691"/>
      <c r="L23" s="688"/>
      <c r="M23" s="688"/>
      <c r="N23" s="688">
        <v>1</v>
      </c>
      <c r="O23" s="688">
        <v>1</v>
      </c>
      <c r="P23" s="688">
        <v>1</v>
      </c>
      <c r="Q23" s="688">
        <v>1</v>
      </c>
      <c r="R23" s="688">
        <v>1</v>
      </c>
      <c r="S23" s="688"/>
      <c r="T23" s="688">
        <v>1</v>
      </c>
      <c r="U23" s="688"/>
      <c r="V23" s="691"/>
      <c r="W23" s="691"/>
      <c r="X23" s="691"/>
      <c r="Y23" s="688">
        <f t="shared" si="1"/>
        <v>6</v>
      </c>
      <c r="Z23" s="1600"/>
    </row>
    <row r="24" spans="1:26" s="696" customFormat="1" ht="15" x14ac:dyDescent="0.25">
      <c r="A24" s="707" t="s">
        <v>32</v>
      </c>
      <c r="B24" s="694" t="s">
        <v>9</v>
      </c>
      <c r="C24" s="707" t="s">
        <v>10</v>
      </c>
      <c r="D24" s="695" t="s">
        <v>35</v>
      </c>
      <c r="E24" s="708" t="str">
        <f t="shared" si="0"/>
        <v>CRWBRMD</v>
      </c>
      <c r="F24" s="695"/>
      <c r="G24" s="695"/>
      <c r="H24" s="695"/>
      <c r="I24" s="695"/>
      <c r="J24" s="695"/>
      <c r="K24" s="695"/>
      <c r="L24" s="695"/>
      <c r="M24" s="695">
        <v>1</v>
      </c>
      <c r="N24" s="695">
        <v>1</v>
      </c>
      <c r="O24" s="695">
        <v>2</v>
      </c>
      <c r="P24" s="695">
        <v>2</v>
      </c>
      <c r="Q24" s="695">
        <v>2</v>
      </c>
      <c r="R24" s="695">
        <v>2</v>
      </c>
      <c r="S24" s="695">
        <v>1</v>
      </c>
      <c r="T24" s="695">
        <v>2</v>
      </c>
      <c r="U24" s="695"/>
      <c r="V24" s="695"/>
      <c r="W24" s="695"/>
      <c r="X24" s="695"/>
      <c r="Y24" s="695">
        <f t="shared" si="1"/>
        <v>13</v>
      </c>
      <c r="Z24" s="1598">
        <f>+Y24+Y25+Y26</f>
        <v>19</v>
      </c>
    </row>
    <row r="25" spans="1:26" ht="15" x14ac:dyDescent="0.25">
      <c r="A25" s="703" t="s">
        <v>32</v>
      </c>
      <c r="B25" s="401" t="s">
        <v>9</v>
      </c>
      <c r="C25" s="703" t="s">
        <v>10</v>
      </c>
      <c r="D25" s="397" t="s">
        <v>68</v>
      </c>
      <c r="E25" s="704" t="str">
        <f t="shared" si="0"/>
        <v>CRWBRME2</v>
      </c>
      <c r="F25" s="397"/>
      <c r="G25" s="397"/>
      <c r="H25" s="397"/>
      <c r="I25" s="397"/>
      <c r="J25" s="397"/>
      <c r="K25" s="397"/>
      <c r="L25" s="397"/>
      <c r="M25" s="397"/>
      <c r="N25" s="397">
        <v>1</v>
      </c>
      <c r="O25" s="397">
        <v>1</v>
      </c>
      <c r="P25" s="397">
        <v>1</v>
      </c>
      <c r="Q25" s="397">
        <v>1</v>
      </c>
      <c r="R25" s="397">
        <v>1</v>
      </c>
      <c r="S25" s="397"/>
      <c r="T25" s="397">
        <v>1</v>
      </c>
      <c r="U25" s="397"/>
      <c r="V25" s="397"/>
      <c r="W25" s="397"/>
      <c r="X25" s="402"/>
      <c r="Y25" s="397">
        <f t="shared" si="1"/>
        <v>6</v>
      </c>
      <c r="Z25" s="1599"/>
    </row>
    <row r="26" spans="1:26" s="692" customFormat="1" ht="15" x14ac:dyDescent="0.25">
      <c r="A26" s="705" t="s">
        <v>32</v>
      </c>
      <c r="B26" s="690" t="s">
        <v>9</v>
      </c>
      <c r="C26" s="705" t="s">
        <v>10</v>
      </c>
      <c r="D26" s="688" t="s">
        <v>69</v>
      </c>
      <c r="E26" s="706" t="str">
        <f t="shared" si="0"/>
        <v>CRWBRMH</v>
      </c>
      <c r="F26" s="691"/>
      <c r="G26" s="691"/>
      <c r="H26" s="691"/>
      <c r="I26" s="691"/>
      <c r="J26" s="691"/>
      <c r="K26" s="691"/>
      <c r="L26" s="688"/>
      <c r="M26" s="688"/>
      <c r="N26" s="688"/>
      <c r="O26" s="688"/>
      <c r="P26" s="688"/>
      <c r="Q26" s="688"/>
      <c r="R26" s="688"/>
      <c r="S26" s="688"/>
      <c r="T26" s="688"/>
      <c r="U26" s="688"/>
      <c r="V26" s="691"/>
      <c r="W26" s="691"/>
      <c r="X26" s="691"/>
      <c r="Y26" s="688">
        <f t="shared" si="1"/>
        <v>0</v>
      </c>
      <c r="Z26" s="1600"/>
    </row>
    <row r="27" spans="1:26" s="696" customFormat="1" ht="15" x14ac:dyDescent="0.25">
      <c r="A27" s="707" t="s">
        <v>32</v>
      </c>
      <c r="B27" s="694" t="s">
        <v>9</v>
      </c>
      <c r="C27" s="707" t="s">
        <v>10</v>
      </c>
      <c r="D27" s="695" t="s">
        <v>35</v>
      </c>
      <c r="E27" s="708" t="str">
        <f t="shared" si="0"/>
        <v>CRWBRMD</v>
      </c>
      <c r="F27" s="695"/>
      <c r="G27" s="695"/>
      <c r="H27" s="695"/>
      <c r="I27" s="695"/>
      <c r="J27" s="695"/>
      <c r="K27" s="695"/>
      <c r="L27" s="695"/>
      <c r="M27" s="695">
        <v>1</v>
      </c>
      <c r="N27" s="695">
        <v>1</v>
      </c>
      <c r="O27" s="695">
        <v>2</v>
      </c>
      <c r="P27" s="695">
        <v>2</v>
      </c>
      <c r="Q27" s="695">
        <v>2</v>
      </c>
      <c r="R27" s="695">
        <v>2</v>
      </c>
      <c r="S27" s="695">
        <v>1</v>
      </c>
      <c r="T27" s="695">
        <v>2</v>
      </c>
      <c r="U27" s="695"/>
      <c r="V27" s="695"/>
      <c r="W27" s="695"/>
      <c r="X27" s="695"/>
      <c r="Y27" s="695">
        <f t="shared" si="1"/>
        <v>13</v>
      </c>
      <c r="Z27" s="1598">
        <f>+Y27+Y28+Y29</f>
        <v>19</v>
      </c>
    </row>
    <row r="28" spans="1:26" ht="15" x14ac:dyDescent="0.25">
      <c r="A28" s="703" t="s">
        <v>32</v>
      </c>
      <c r="B28" s="401" t="s">
        <v>9</v>
      </c>
      <c r="C28" s="703" t="s">
        <v>10</v>
      </c>
      <c r="D28" s="397" t="s">
        <v>68</v>
      </c>
      <c r="E28" s="704" t="str">
        <f t="shared" si="0"/>
        <v>CRWBRME2</v>
      </c>
      <c r="F28" s="397"/>
      <c r="G28" s="397"/>
      <c r="H28" s="397"/>
      <c r="I28" s="397"/>
      <c r="J28" s="397"/>
      <c r="K28" s="397"/>
      <c r="L28" s="397"/>
      <c r="M28" s="397"/>
      <c r="N28" s="397">
        <v>1</v>
      </c>
      <c r="O28" s="397">
        <v>1</v>
      </c>
      <c r="P28" s="397">
        <v>1</v>
      </c>
      <c r="Q28" s="397">
        <v>1</v>
      </c>
      <c r="R28" s="397">
        <v>1</v>
      </c>
      <c r="S28" s="397"/>
      <c r="T28" s="397">
        <v>1</v>
      </c>
      <c r="U28" s="397"/>
      <c r="V28" s="397"/>
      <c r="W28" s="397"/>
      <c r="X28" s="402"/>
      <c r="Y28" s="397">
        <f t="shared" si="1"/>
        <v>6</v>
      </c>
      <c r="Z28" s="1599"/>
    </row>
    <row r="29" spans="1:26" s="692" customFormat="1" ht="15" x14ac:dyDescent="0.25">
      <c r="A29" s="705" t="s">
        <v>32</v>
      </c>
      <c r="B29" s="690" t="s">
        <v>9</v>
      </c>
      <c r="C29" s="705" t="s">
        <v>10</v>
      </c>
      <c r="D29" s="709" t="s">
        <v>92</v>
      </c>
      <c r="E29" s="706" t="str">
        <f t="shared" si="0"/>
        <v>CRWBRME3</v>
      </c>
      <c r="F29" s="691"/>
      <c r="G29" s="691"/>
      <c r="H29" s="691"/>
      <c r="I29" s="691"/>
      <c r="J29" s="691"/>
      <c r="K29" s="691"/>
      <c r="L29" s="688"/>
      <c r="M29" s="688"/>
      <c r="N29" s="688"/>
      <c r="O29" s="688"/>
      <c r="P29" s="688"/>
      <c r="Q29" s="688"/>
      <c r="R29" s="688"/>
      <c r="S29" s="688"/>
      <c r="T29" s="688"/>
      <c r="U29" s="688"/>
      <c r="V29" s="691"/>
      <c r="W29" s="691"/>
      <c r="X29" s="691"/>
      <c r="Y29" s="688">
        <f t="shared" si="1"/>
        <v>0</v>
      </c>
      <c r="Z29" s="1600"/>
    </row>
    <row r="30" spans="1:26" s="696" customFormat="1" ht="15" x14ac:dyDescent="0.25">
      <c r="A30" s="707" t="s">
        <v>35</v>
      </c>
      <c r="B30" s="694" t="s">
        <v>9</v>
      </c>
      <c r="C30" s="707" t="s">
        <v>10</v>
      </c>
      <c r="D30" s="710" t="s">
        <v>26</v>
      </c>
      <c r="E30" s="708" t="str">
        <f t="shared" si="0"/>
        <v>DRWBRMB</v>
      </c>
      <c r="F30" s="695"/>
      <c r="G30" s="695"/>
      <c r="H30" s="695"/>
      <c r="I30" s="695"/>
      <c r="J30" s="695"/>
      <c r="K30" s="695"/>
      <c r="L30" s="695"/>
      <c r="M30" s="695"/>
      <c r="N30" s="695"/>
      <c r="O30" s="695"/>
      <c r="P30" s="695"/>
      <c r="Q30" s="695"/>
      <c r="R30" s="695"/>
      <c r="S30" s="695"/>
      <c r="T30" s="695"/>
      <c r="U30" s="695"/>
      <c r="V30" s="695"/>
      <c r="W30" s="695"/>
      <c r="X30" s="695"/>
      <c r="Y30" s="695">
        <f t="shared" si="1"/>
        <v>0</v>
      </c>
      <c r="Z30" s="1598">
        <f>+Y30+Y31+Y32</f>
        <v>12</v>
      </c>
    </row>
    <row r="31" spans="1:26" ht="15" x14ac:dyDescent="0.25">
      <c r="A31" s="703" t="s">
        <v>35</v>
      </c>
      <c r="B31" s="401" t="s">
        <v>9</v>
      </c>
      <c r="C31" s="703" t="s">
        <v>10</v>
      </c>
      <c r="D31" s="702" t="s">
        <v>35</v>
      </c>
      <c r="E31" s="704" t="str">
        <f t="shared" si="0"/>
        <v>DRWBRMD</v>
      </c>
      <c r="F31" s="397"/>
      <c r="G31" s="397"/>
      <c r="H31" s="397"/>
      <c r="I31" s="397"/>
      <c r="J31" s="397"/>
      <c r="K31" s="397"/>
      <c r="L31" s="397"/>
      <c r="M31" s="397"/>
      <c r="N31" s="695">
        <v>1</v>
      </c>
      <c r="O31" s="695">
        <v>1</v>
      </c>
      <c r="P31" s="695">
        <v>2</v>
      </c>
      <c r="Q31" s="695">
        <v>2</v>
      </c>
      <c r="R31" s="695">
        <v>1</v>
      </c>
      <c r="S31" s="695">
        <v>1</v>
      </c>
      <c r="T31" s="695">
        <v>1</v>
      </c>
      <c r="U31" s="397"/>
      <c r="V31" s="397"/>
      <c r="W31" s="397"/>
      <c r="X31" s="402"/>
      <c r="Y31" s="397">
        <f t="shared" si="1"/>
        <v>9</v>
      </c>
      <c r="Z31" s="1599"/>
    </row>
    <row r="32" spans="1:26" s="692" customFormat="1" ht="15" x14ac:dyDescent="0.25">
      <c r="A32" s="705" t="s">
        <v>35</v>
      </c>
      <c r="B32" s="690" t="s">
        <v>9</v>
      </c>
      <c r="C32" s="705" t="s">
        <v>10</v>
      </c>
      <c r="D32" s="709" t="s">
        <v>68</v>
      </c>
      <c r="E32" s="706" t="str">
        <f t="shared" si="0"/>
        <v>DRWBRME2</v>
      </c>
      <c r="F32" s="691"/>
      <c r="G32" s="691"/>
      <c r="H32" s="691"/>
      <c r="I32" s="691"/>
      <c r="J32" s="691"/>
      <c r="K32" s="691"/>
      <c r="L32" s="688"/>
      <c r="M32" s="688"/>
      <c r="N32" s="688"/>
      <c r="O32" s="688"/>
      <c r="P32" s="397">
        <v>1</v>
      </c>
      <c r="Q32" s="397">
        <v>1</v>
      </c>
      <c r="R32" s="397">
        <v>1</v>
      </c>
      <c r="S32" s="688"/>
      <c r="T32" s="688"/>
      <c r="U32" s="688"/>
      <c r="V32" s="688"/>
      <c r="W32" s="691"/>
      <c r="X32" s="691"/>
      <c r="Y32" s="688">
        <f t="shared" si="1"/>
        <v>3</v>
      </c>
      <c r="Z32" s="1600"/>
    </row>
    <row r="33" spans="1:26" s="696" customFormat="1" ht="15" x14ac:dyDescent="0.25">
      <c r="A33" s="707" t="s">
        <v>35</v>
      </c>
      <c r="B33" s="694" t="s">
        <v>9</v>
      </c>
      <c r="C33" s="707" t="s">
        <v>10</v>
      </c>
      <c r="D33" s="695" t="s">
        <v>35</v>
      </c>
      <c r="E33" s="708" t="str">
        <f t="shared" si="0"/>
        <v>DRWBRMD</v>
      </c>
      <c r="F33" s="695"/>
      <c r="G33" s="695"/>
      <c r="H33" s="695"/>
      <c r="I33" s="695"/>
      <c r="J33" s="695"/>
      <c r="K33" s="695"/>
      <c r="L33" s="695"/>
      <c r="M33" s="695"/>
      <c r="N33" s="695">
        <v>1</v>
      </c>
      <c r="O33" s="695">
        <v>1</v>
      </c>
      <c r="P33" s="695">
        <v>2</v>
      </c>
      <c r="Q33" s="695">
        <v>2</v>
      </c>
      <c r="R33" s="695">
        <v>1</v>
      </c>
      <c r="S33" s="695">
        <v>1</v>
      </c>
      <c r="T33" s="695">
        <v>1</v>
      </c>
      <c r="U33" s="695"/>
      <c r="V33" s="695"/>
      <c r="W33" s="695"/>
      <c r="X33" s="695"/>
      <c r="Y33" s="695">
        <f t="shared" si="1"/>
        <v>9</v>
      </c>
      <c r="Z33" s="1598">
        <f>+Y33+Y34+Y35</f>
        <v>12</v>
      </c>
    </row>
    <row r="34" spans="1:26" ht="15" x14ac:dyDescent="0.25">
      <c r="A34" s="703" t="s">
        <v>35</v>
      </c>
      <c r="B34" s="401" t="s">
        <v>9</v>
      </c>
      <c r="C34" s="703" t="s">
        <v>10</v>
      </c>
      <c r="D34" s="397" t="s">
        <v>68</v>
      </c>
      <c r="E34" s="704" t="str">
        <f t="shared" si="0"/>
        <v>DRWBRME2</v>
      </c>
      <c r="F34" s="397"/>
      <c r="G34" s="397"/>
      <c r="H34" s="397"/>
      <c r="I34" s="397"/>
      <c r="J34" s="397"/>
      <c r="K34" s="397"/>
      <c r="L34" s="397"/>
      <c r="M34" s="397"/>
      <c r="N34" s="397"/>
      <c r="O34" s="397"/>
      <c r="P34" s="397">
        <v>1</v>
      </c>
      <c r="Q34" s="397">
        <v>1</v>
      </c>
      <c r="R34" s="397">
        <v>1</v>
      </c>
      <c r="S34" s="397"/>
      <c r="T34" s="397"/>
      <c r="U34" s="397"/>
      <c r="V34" s="397"/>
      <c r="W34" s="397"/>
      <c r="X34" s="402"/>
      <c r="Y34" s="397">
        <f t="shared" si="1"/>
        <v>3</v>
      </c>
      <c r="Z34" s="1599"/>
    </row>
    <row r="35" spans="1:26" s="692" customFormat="1" ht="15" x14ac:dyDescent="0.25">
      <c r="A35" s="705" t="s">
        <v>35</v>
      </c>
      <c r="B35" s="690" t="s">
        <v>9</v>
      </c>
      <c r="C35" s="705" t="s">
        <v>10</v>
      </c>
      <c r="D35" s="688" t="s">
        <v>69</v>
      </c>
      <c r="E35" s="706" t="str">
        <f t="shared" si="0"/>
        <v>DRWBRMH</v>
      </c>
      <c r="F35" s="691"/>
      <c r="G35" s="691"/>
      <c r="H35" s="691"/>
      <c r="I35" s="691"/>
      <c r="J35" s="691"/>
      <c r="K35" s="691"/>
      <c r="L35" s="688"/>
      <c r="M35" s="688"/>
      <c r="N35" s="688"/>
      <c r="O35" s="688"/>
      <c r="P35" s="688"/>
      <c r="Q35" s="688"/>
      <c r="R35" s="688"/>
      <c r="S35" s="688"/>
      <c r="T35" s="688"/>
      <c r="U35" s="688"/>
      <c r="V35" s="688"/>
      <c r="W35" s="691"/>
      <c r="X35" s="691"/>
      <c r="Y35" s="688">
        <f t="shared" ref="Y35:Y66" si="2">SUM(F35:X35)</f>
        <v>0</v>
      </c>
      <c r="Z35" s="1600"/>
    </row>
    <row r="36" spans="1:26" ht="15" x14ac:dyDescent="0.25">
      <c r="A36" s="707" t="s">
        <v>35</v>
      </c>
      <c r="B36" s="694" t="s">
        <v>9</v>
      </c>
      <c r="C36" s="707" t="s">
        <v>10</v>
      </c>
      <c r="D36" s="695" t="s">
        <v>35</v>
      </c>
      <c r="E36" s="708" t="str">
        <f t="shared" si="0"/>
        <v>DRWBRMD</v>
      </c>
      <c r="F36" s="695"/>
      <c r="G36" s="695"/>
      <c r="H36" s="695"/>
      <c r="I36" s="695"/>
      <c r="J36" s="695"/>
      <c r="K36" s="695"/>
      <c r="L36" s="695"/>
      <c r="M36" s="695"/>
      <c r="N36" s="695">
        <v>1</v>
      </c>
      <c r="O36" s="695">
        <v>1</v>
      </c>
      <c r="P36" s="695">
        <v>2</v>
      </c>
      <c r="Q36" s="695">
        <v>2</v>
      </c>
      <c r="R36" s="695">
        <v>1</v>
      </c>
      <c r="S36" s="695">
        <v>1</v>
      </c>
      <c r="T36" s="695">
        <v>1</v>
      </c>
      <c r="U36" s="695"/>
      <c r="V36" s="695"/>
      <c r="W36" s="695"/>
      <c r="X36" s="695"/>
      <c r="Y36" s="695">
        <f t="shared" si="2"/>
        <v>9</v>
      </c>
      <c r="Z36" s="1598">
        <f>+Y36+Y37+Y38</f>
        <v>12</v>
      </c>
    </row>
    <row r="37" spans="1:26" ht="15" x14ac:dyDescent="0.25">
      <c r="A37" s="703" t="s">
        <v>35</v>
      </c>
      <c r="B37" s="401" t="s">
        <v>9</v>
      </c>
      <c r="C37" s="703" t="s">
        <v>10</v>
      </c>
      <c r="D37" s="397" t="s">
        <v>68</v>
      </c>
      <c r="E37" s="704" t="str">
        <f t="shared" si="0"/>
        <v>DRWBRME2</v>
      </c>
      <c r="F37" s="397"/>
      <c r="G37" s="397"/>
      <c r="H37" s="397"/>
      <c r="I37" s="397"/>
      <c r="J37" s="397"/>
      <c r="K37" s="397"/>
      <c r="L37" s="397"/>
      <c r="M37" s="397"/>
      <c r="N37" s="397"/>
      <c r="O37" s="397"/>
      <c r="P37" s="397">
        <v>1</v>
      </c>
      <c r="Q37" s="397">
        <v>1</v>
      </c>
      <c r="R37" s="397">
        <v>1</v>
      </c>
      <c r="S37" s="397"/>
      <c r="T37" s="397"/>
      <c r="U37" s="397"/>
      <c r="V37" s="397"/>
      <c r="W37" s="397"/>
      <c r="X37" s="402"/>
      <c r="Y37" s="397">
        <f t="shared" si="2"/>
        <v>3</v>
      </c>
      <c r="Z37" s="1599"/>
    </row>
    <row r="38" spans="1:26" ht="15" x14ac:dyDescent="0.25">
      <c r="A38" s="705" t="s">
        <v>35</v>
      </c>
      <c r="B38" s="690" t="s">
        <v>9</v>
      </c>
      <c r="C38" s="705" t="s">
        <v>10</v>
      </c>
      <c r="D38" s="709" t="s">
        <v>92</v>
      </c>
      <c r="E38" s="706" t="str">
        <f t="shared" si="0"/>
        <v>DRWBRME3</v>
      </c>
      <c r="F38" s="691"/>
      <c r="G38" s="691"/>
      <c r="H38" s="691"/>
      <c r="I38" s="691"/>
      <c r="J38" s="691"/>
      <c r="K38" s="691"/>
      <c r="L38" s="688"/>
      <c r="M38" s="688"/>
      <c r="N38" s="688"/>
      <c r="O38" s="688"/>
      <c r="P38" s="688"/>
      <c r="Q38" s="688"/>
      <c r="R38" s="688"/>
      <c r="S38" s="688"/>
      <c r="T38" s="688"/>
      <c r="U38" s="688"/>
      <c r="V38" s="688"/>
      <c r="W38" s="691"/>
      <c r="X38" s="691"/>
      <c r="Y38" s="688">
        <f t="shared" si="2"/>
        <v>0</v>
      </c>
      <c r="Z38" s="1600"/>
    </row>
    <row r="39" spans="1:26" ht="15" x14ac:dyDescent="0.25">
      <c r="A39" s="400" t="s">
        <v>21</v>
      </c>
      <c r="B39" s="403" t="s">
        <v>16</v>
      </c>
      <c r="C39" s="703" t="s">
        <v>10</v>
      </c>
      <c r="D39" s="397" t="s">
        <v>10</v>
      </c>
      <c r="E39" s="704" t="str">
        <f t="shared" si="0"/>
        <v>AWORXMM</v>
      </c>
      <c r="F39" s="402"/>
      <c r="G39" s="402"/>
      <c r="H39" s="402"/>
      <c r="I39" s="402"/>
      <c r="J39" s="397"/>
      <c r="K39" s="397"/>
      <c r="L39" s="397">
        <v>1</v>
      </c>
      <c r="M39" s="397">
        <v>1</v>
      </c>
      <c r="N39" s="397">
        <v>2</v>
      </c>
      <c r="O39" s="397">
        <v>2</v>
      </c>
      <c r="P39" s="397">
        <v>3</v>
      </c>
      <c r="Q39" s="397">
        <v>3</v>
      </c>
      <c r="R39" s="397">
        <v>3</v>
      </c>
      <c r="S39" s="397">
        <v>1</v>
      </c>
      <c r="T39" s="397">
        <v>2</v>
      </c>
      <c r="U39" s="397">
        <v>1</v>
      </c>
      <c r="V39" s="397"/>
      <c r="W39" s="402"/>
      <c r="X39" s="402"/>
      <c r="Y39" s="397">
        <f t="shared" si="2"/>
        <v>19</v>
      </c>
      <c r="Z39" s="1598">
        <f>Y39+Y40</f>
        <v>31</v>
      </c>
    </row>
    <row r="40" spans="1:26" s="692" customFormat="1" ht="15" x14ac:dyDescent="0.25">
      <c r="A40" s="689" t="s">
        <v>21</v>
      </c>
      <c r="B40" s="697" t="s">
        <v>16</v>
      </c>
      <c r="C40" s="705" t="s">
        <v>10</v>
      </c>
      <c r="D40" s="709" t="s">
        <v>70</v>
      </c>
      <c r="E40" s="706" t="str">
        <f t="shared" si="0"/>
        <v>AWORXMW2</v>
      </c>
      <c r="F40" s="691"/>
      <c r="G40" s="691"/>
      <c r="H40" s="691"/>
      <c r="I40" s="691"/>
      <c r="J40" s="691"/>
      <c r="K40" s="691"/>
      <c r="L40" s="688"/>
      <c r="M40" s="688">
        <v>1</v>
      </c>
      <c r="N40" s="688">
        <v>1</v>
      </c>
      <c r="O40" s="688">
        <v>1</v>
      </c>
      <c r="P40" s="688">
        <v>2</v>
      </c>
      <c r="Q40" s="688">
        <v>2</v>
      </c>
      <c r="R40" s="688">
        <v>2</v>
      </c>
      <c r="S40" s="688">
        <v>1</v>
      </c>
      <c r="T40" s="688">
        <v>1</v>
      </c>
      <c r="U40" s="688">
        <v>1</v>
      </c>
      <c r="V40" s="688"/>
      <c r="W40" s="691"/>
      <c r="X40" s="691"/>
      <c r="Y40" s="688">
        <f t="shared" si="2"/>
        <v>12</v>
      </c>
      <c r="Z40" s="1600"/>
    </row>
    <row r="41" spans="1:26" s="696" customFormat="1" ht="15" x14ac:dyDescent="0.25">
      <c r="A41" s="707" t="s">
        <v>26</v>
      </c>
      <c r="B41" s="698" t="s">
        <v>16</v>
      </c>
      <c r="C41" s="707" t="s">
        <v>10</v>
      </c>
      <c r="D41" s="695" t="s">
        <v>10</v>
      </c>
      <c r="E41" s="708" t="str">
        <f t="shared" si="0"/>
        <v>BWORXMM</v>
      </c>
      <c r="F41" s="699"/>
      <c r="G41" s="699"/>
      <c r="H41" s="699"/>
      <c r="I41" s="699"/>
      <c r="J41" s="695"/>
      <c r="K41" s="695"/>
      <c r="L41" s="695"/>
      <c r="M41" s="695">
        <v>1</v>
      </c>
      <c r="N41" s="695">
        <v>2</v>
      </c>
      <c r="O41" s="695">
        <v>2</v>
      </c>
      <c r="P41" s="695">
        <v>3</v>
      </c>
      <c r="Q41" s="695">
        <v>3</v>
      </c>
      <c r="R41" s="695">
        <v>3</v>
      </c>
      <c r="S41" s="695">
        <v>1</v>
      </c>
      <c r="T41" s="695">
        <v>2</v>
      </c>
      <c r="U41" s="695">
        <v>1</v>
      </c>
      <c r="V41" s="695"/>
      <c r="W41" s="699"/>
      <c r="X41" s="699"/>
      <c r="Y41" s="695">
        <f t="shared" si="2"/>
        <v>18</v>
      </c>
      <c r="Z41" s="1598">
        <f>Y41+Y42</f>
        <v>27</v>
      </c>
    </row>
    <row r="42" spans="1:26" s="692" customFormat="1" ht="15" x14ac:dyDescent="0.25">
      <c r="A42" s="705" t="s">
        <v>26</v>
      </c>
      <c r="B42" s="697" t="s">
        <v>16</v>
      </c>
      <c r="C42" s="705" t="s">
        <v>10</v>
      </c>
      <c r="D42" s="709" t="s">
        <v>70</v>
      </c>
      <c r="E42" s="706" t="str">
        <f t="shared" si="0"/>
        <v>BWORXMW2</v>
      </c>
      <c r="F42" s="691"/>
      <c r="G42" s="691"/>
      <c r="H42" s="691"/>
      <c r="I42" s="691"/>
      <c r="J42" s="691"/>
      <c r="K42" s="691"/>
      <c r="L42" s="688"/>
      <c r="M42" s="688"/>
      <c r="N42" s="688"/>
      <c r="O42" s="688">
        <v>1</v>
      </c>
      <c r="P42" s="688">
        <v>2</v>
      </c>
      <c r="Q42" s="688">
        <v>2</v>
      </c>
      <c r="R42" s="688">
        <v>2</v>
      </c>
      <c r="S42" s="688">
        <v>1</v>
      </c>
      <c r="T42" s="688">
        <v>1</v>
      </c>
      <c r="U42" s="688"/>
      <c r="V42" s="688"/>
      <c r="W42" s="691"/>
      <c r="X42" s="691"/>
      <c r="Y42" s="688">
        <f t="shared" si="2"/>
        <v>9</v>
      </c>
      <c r="Z42" s="1600"/>
    </row>
    <row r="43" spans="1:26" s="696" customFormat="1" ht="15" x14ac:dyDescent="0.25">
      <c r="A43" s="707" t="s">
        <v>32</v>
      </c>
      <c r="B43" s="698" t="s">
        <v>16</v>
      </c>
      <c r="C43" s="707" t="s">
        <v>10</v>
      </c>
      <c r="D43" s="695" t="s">
        <v>10</v>
      </c>
      <c r="E43" s="708" t="str">
        <f t="shared" si="0"/>
        <v>CWORXMM</v>
      </c>
      <c r="F43" s="699"/>
      <c r="G43" s="699"/>
      <c r="H43" s="699"/>
      <c r="I43" s="699"/>
      <c r="J43" s="695"/>
      <c r="K43" s="695"/>
      <c r="L43" s="695"/>
      <c r="M43" s="695">
        <v>1</v>
      </c>
      <c r="N43" s="695">
        <v>1</v>
      </c>
      <c r="O43" s="695">
        <v>2</v>
      </c>
      <c r="P43" s="695">
        <v>2</v>
      </c>
      <c r="Q43" s="695">
        <v>2</v>
      </c>
      <c r="R43" s="695">
        <v>2</v>
      </c>
      <c r="S43" s="695">
        <v>1</v>
      </c>
      <c r="T43" s="695">
        <v>2</v>
      </c>
      <c r="U43" s="695"/>
      <c r="V43" s="695"/>
      <c r="W43" s="699"/>
      <c r="X43" s="699"/>
      <c r="Y43" s="695">
        <f t="shared" si="2"/>
        <v>13</v>
      </c>
      <c r="Z43" s="1598">
        <f>Y43+Y44</f>
        <v>19</v>
      </c>
    </row>
    <row r="44" spans="1:26" s="692" customFormat="1" ht="15" x14ac:dyDescent="0.25">
      <c r="A44" s="705" t="s">
        <v>32</v>
      </c>
      <c r="B44" s="697" t="s">
        <v>16</v>
      </c>
      <c r="C44" s="705" t="s">
        <v>10</v>
      </c>
      <c r="D44" s="709" t="s">
        <v>70</v>
      </c>
      <c r="E44" s="706" t="str">
        <f t="shared" si="0"/>
        <v>CWORXMW2</v>
      </c>
      <c r="F44" s="691"/>
      <c r="G44" s="691"/>
      <c r="H44" s="691"/>
      <c r="I44" s="691"/>
      <c r="J44" s="691"/>
      <c r="K44" s="691"/>
      <c r="L44" s="688"/>
      <c r="M44" s="688"/>
      <c r="N44" s="688">
        <v>1</v>
      </c>
      <c r="O44" s="688">
        <v>1</v>
      </c>
      <c r="P44" s="688">
        <v>1</v>
      </c>
      <c r="Q44" s="688">
        <v>1</v>
      </c>
      <c r="R44" s="688">
        <v>1</v>
      </c>
      <c r="S44" s="688"/>
      <c r="T44" s="688">
        <v>1</v>
      </c>
      <c r="U44" s="688"/>
      <c r="V44" s="688"/>
      <c r="W44" s="691"/>
      <c r="X44" s="691"/>
      <c r="Y44" s="688">
        <f t="shared" si="2"/>
        <v>6</v>
      </c>
      <c r="Z44" s="1600"/>
    </row>
    <row r="45" spans="1:26" s="696" customFormat="1" ht="15" x14ac:dyDescent="0.25">
      <c r="A45" s="707" t="s">
        <v>35</v>
      </c>
      <c r="B45" s="698" t="s">
        <v>16</v>
      </c>
      <c r="C45" s="707" t="s">
        <v>10</v>
      </c>
      <c r="D45" s="695" t="s">
        <v>10</v>
      </c>
      <c r="E45" s="708" t="str">
        <f t="shared" si="0"/>
        <v>DWORXMM</v>
      </c>
      <c r="F45" s="699"/>
      <c r="G45" s="699"/>
      <c r="H45" s="699"/>
      <c r="I45" s="699"/>
      <c r="J45" s="695"/>
      <c r="K45" s="695"/>
      <c r="L45" s="695"/>
      <c r="M45" s="695"/>
      <c r="N45" s="695">
        <v>1</v>
      </c>
      <c r="O45" s="695">
        <v>1</v>
      </c>
      <c r="P45" s="695">
        <v>2</v>
      </c>
      <c r="Q45" s="695">
        <v>2</v>
      </c>
      <c r="R45" s="695">
        <v>1</v>
      </c>
      <c r="S45" s="695">
        <v>1</v>
      </c>
      <c r="T45" s="695">
        <v>1</v>
      </c>
      <c r="U45" s="695"/>
      <c r="V45" s="695"/>
      <c r="W45" s="699"/>
      <c r="X45" s="699"/>
      <c r="Y45" s="695">
        <f t="shared" si="2"/>
        <v>9</v>
      </c>
      <c r="Z45" s="1598">
        <f>Y45+Y46</f>
        <v>12</v>
      </c>
    </row>
    <row r="46" spans="1:26" s="692" customFormat="1" ht="15" x14ac:dyDescent="0.25">
      <c r="A46" s="705" t="s">
        <v>35</v>
      </c>
      <c r="B46" s="697" t="s">
        <v>16</v>
      </c>
      <c r="C46" s="705" t="s">
        <v>10</v>
      </c>
      <c r="D46" s="709" t="s">
        <v>70</v>
      </c>
      <c r="E46" s="706" t="str">
        <f t="shared" si="0"/>
        <v>DWORXMW2</v>
      </c>
      <c r="F46" s="691"/>
      <c r="G46" s="691"/>
      <c r="H46" s="691"/>
      <c r="I46" s="691"/>
      <c r="J46" s="691"/>
      <c r="K46" s="691"/>
      <c r="L46" s="688"/>
      <c r="M46" s="688"/>
      <c r="N46" s="688"/>
      <c r="O46" s="688"/>
      <c r="P46" s="688">
        <v>1</v>
      </c>
      <c r="Q46" s="688">
        <v>1</v>
      </c>
      <c r="R46" s="688">
        <v>1</v>
      </c>
      <c r="S46" s="688"/>
      <c r="T46" s="688"/>
      <c r="U46" s="688"/>
      <c r="V46" s="688"/>
      <c r="W46" s="691"/>
      <c r="X46" s="691"/>
      <c r="Y46" s="688">
        <f t="shared" si="2"/>
        <v>3</v>
      </c>
      <c r="Z46" s="1600"/>
    </row>
    <row r="47" spans="1:26" ht="15" x14ac:dyDescent="0.25">
      <c r="A47" s="693" t="s">
        <v>21</v>
      </c>
      <c r="B47" s="700" t="s">
        <v>22</v>
      </c>
      <c r="C47" s="707" t="s">
        <v>10</v>
      </c>
      <c r="D47" s="695" t="s">
        <v>35</v>
      </c>
      <c r="E47" s="708" t="str">
        <f t="shared" si="0"/>
        <v>AIrish SetterMD</v>
      </c>
      <c r="F47" s="695"/>
      <c r="G47" s="695"/>
      <c r="H47" s="695"/>
      <c r="I47" s="695"/>
      <c r="J47" s="695"/>
      <c r="K47" s="695"/>
      <c r="L47" s="695">
        <v>1</v>
      </c>
      <c r="M47" s="695">
        <v>1</v>
      </c>
      <c r="N47" s="695">
        <v>2</v>
      </c>
      <c r="O47" s="695">
        <v>2</v>
      </c>
      <c r="P47" s="695">
        <v>3</v>
      </c>
      <c r="Q47" s="695">
        <v>3</v>
      </c>
      <c r="R47" s="695">
        <v>3</v>
      </c>
      <c r="S47" s="695">
        <v>1</v>
      </c>
      <c r="T47" s="695">
        <v>2</v>
      </c>
      <c r="U47" s="695">
        <v>1</v>
      </c>
      <c r="V47" s="695"/>
      <c r="W47" s="695"/>
      <c r="X47" s="699"/>
      <c r="Y47" s="695">
        <f t="shared" si="2"/>
        <v>19</v>
      </c>
      <c r="Z47" s="1598">
        <f>Y47+Y48</f>
        <v>31</v>
      </c>
    </row>
    <row r="48" spans="1:26" ht="15" x14ac:dyDescent="0.25">
      <c r="A48" s="689" t="s">
        <v>21</v>
      </c>
      <c r="B48" s="701" t="s">
        <v>22</v>
      </c>
      <c r="C48" s="705" t="s">
        <v>10</v>
      </c>
      <c r="D48" s="688" t="s">
        <v>68</v>
      </c>
      <c r="E48" s="706" t="str">
        <f t="shared" si="0"/>
        <v>AIrish SetterME2</v>
      </c>
      <c r="F48" s="691"/>
      <c r="G48" s="691"/>
      <c r="H48" s="691"/>
      <c r="I48" s="691"/>
      <c r="J48" s="688"/>
      <c r="K48" s="688"/>
      <c r="L48" s="688"/>
      <c r="M48" s="688">
        <v>1</v>
      </c>
      <c r="N48" s="688">
        <v>1</v>
      </c>
      <c r="O48" s="688">
        <v>1</v>
      </c>
      <c r="P48" s="688">
        <v>2</v>
      </c>
      <c r="Q48" s="688">
        <v>2</v>
      </c>
      <c r="R48" s="688">
        <v>2</v>
      </c>
      <c r="S48" s="688">
        <v>1</v>
      </c>
      <c r="T48" s="688">
        <v>1</v>
      </c>
      <c r="U48" s="688">
        <v>1</v>
      </c>
      <c r="V48" s="688"/>
      <c r="W48" s="691"/>
      <c r="X48" s="691"/>
      <c r="Y48" s="688">
        <f t="shared" si="2"/>
        <v>12</v>
      </c>
      <c r="Z48" s="1600"/>
    </row>
    <row r="49" spans="1:26" ht="15" x14ac:dyDescent="0.25">
      <c r="A49" s="703" t="s">
        <v>26</v>
      </c>
      <c r="B49" s="404" t="s">
        <v>22</v>
      </c>
      <c r="C49" s="703" t="s">
        <v>10</v>
      </c>
      <c r="D49" s="397" t="s">
        <v>35</v>
      </c>
      <c r="E49" s="704" t="str">
        <f t="shared" si="0"/>
        <v>BIrish SetterMD</v>
      </c>
      <c r="F49" s="397"/>
      <c r="G49" s="397"/>
      <c r="H49" s="397"/>
      <c r="I49" s="397"/>
      <c r="J49" s="397"/>
      <c r="K49" s="397"/>
      <c r="L49" s="397"/>
      <c r="M49" s="397">
        <v>1</v>
      </c>
      <c r="N49" s="397">
        <v>2</v>
      </c>
      <c r="O49" s="397">
        <v>2</v>
      </c>
      <c r="P49" s="397">
        <v>3</v>
      </c>
      <c r="Q49" s="397">
        <v>3</v>
      </c>
      <c r="R49" s="397">
        <v>3</v>
      </c>
      <c r="S49" s="397">
        <v>1</v>
      </c>
      <c r="T49" s="397">
        <v>2</v>
      </c>
      <c r="U49" s="397">
        <v>1</v>
      </c>
      <c r="V49" s="397"/>
      <c r="W49" s="397"/>
      <c r="X49" s="402"/>
      <c r="Y49" s="397">
        <f t="shared" si="2"/>
        <v>18</v>
      </c>
      <c r="Z49" s="1599">
        <f>Y49+Y50</f>
        <v>27</v>
      </c>
    </row>
    <row r="50" spans="1:26" ht="15" x14ac:dyDescent="0.25">
      <c r="A50" s="705" t="s">
        <v>26</v>
      </c>
      <c r="B50" s="701" t="s">
        <v>22</v>
      </c>
      <c r="C50" s="705" t="s">
        <v>10</v>
      </c>
      <c r="D50" s="688" t="s">
        <v>68</v>
      </c>
      <c r="E50" s="706" t="str">
        <f t="shared" si="0"/>
        <v>BIrish SetterME2</v>
      </c>
      <c r="F50" s="691"/>
      <c r="G50" s="691"/>
      <c r="H50" s="691"/>
      <c r="I50" s="691"/>
      <c r="J50" s="688"/>
      <c r="K50" s="688"/>
      <c r="L50" s="688"/>
      <c r="M50" s="688"/>
      <c r="N50" s="688"/>
      <c r="O50" s="688">
        <v>1</v>
      </c>
      <c r="P50" s="688">
        <v>2</v>
      </c>
      <c r="Q50" s="688">
        <v>2</v>
      </c>
      <c r="R50" s="688">
        <v>2</v>
      </c>
      <c r="S50" s="688">
        <v>1</v>
      </c>
      <c r="T50" s="688">
        <v>1</v>
      </c>
      <c r="U50" s="688"/>
      <c r="V50" s="688"/>
      <c r="W50" s="691"/>
      <c r="X50" s="691"/>
      <c r="Y50" s="688">
        <f t="shared" si="2"/>
        <v>9</v>
      </c>
      <c r="Z50" s="1600"/>
    </row>
    <row r="51" spans="1:26" ht="15" x14ac:dyDescent="0.25">
      <c r="A51" s="703" t="s">
        <v>32</v>
      </c>
      <c r="B51" s="404" t="s">
        <v>22</v>
      </c>
      <c r="C51" s="703" t="s">
        <v>10</v>
      </c>
      <c r="D51" s="397" t="s">
        <v>35</v>
      </c>
      <c r="E51" s="704" t="str">
        <f t="shared" si="0"/>
        <v>CIrish SetterMD</v>
      </c>
      <c r="F51" s="397"/>
      <c r="G51" s="397"/>
      <c r="H51" s="397"/>
      <c r="I51" s="397"/>
      <c r="J51" s="397"/>
      <c r="K51" s="397"/>
      <c r="L51" s="397"/>
      <c r="M51" s="397">
        <v>1</v>
      </c>
      <c r="N51" s="397">
        <v>1</v>
      </c>
      <c r="O51" s="397">
        <v>2</v>
      </c>
      <c r="P51" s="397">
        <v>2</v>
      </c>
      <c r="Q51" s="397">
        <v>2</v>
      </c>
      <c r="R51" s="397">
        <v>2</v>
      </c>
      <c r="S51" s="397">
        <v>1</v>
      </c>
      <c r="T51" s="397">
        <v>2</v>
      </c>
      <c r="U51" s="397"/>
      <c r="V51" s="397"/>
      <c r="W51" s="397"/>
      <c r="X51" s="402"/>
      <c r="Y51" s="397">
        <f t="shared" si="2"/>
        <v>13</v>
      </c>
      <c r="Z51" s="1599">
        <f>Y51+Y52</f>
        <v>19</v>
      </c>
    </row>
    <row r="52" spans="1:26" ht="15" x14ac:dyDescent="0.25">
      <c r="A52" s="705" t="s">
        <v>32</v>
      </c>
      <c r="B52" s="701" t="s">
        <v>22</v>
      </c>
      <c r="C52" s="705" t="s">
        <v>10</v>
      </c>
      <c r="D52" s="688" t="s">
        <v>68</v>
      </c>
      <c r="E52" s="706" t="str">
        <f t="shared" si="0"/>
        <v>CIrish SetterME2</v>
      </c>
      <c r="F52" s="691"/>
      <c r="G52" s="691"/>
      <c r="H52" s="691"/>
      <c r="I52" s="691"/>
      <c r="J52" s="688"/>
      <c r="K52" s="688"/>
      <c r="L52" s="688"/>
      <c r="M52" s="688"/>
      <c r="N52" s="688">
        <v>1</v>
      </c>
      <c r="O52" s="688">
        <v>1</v>
      </c>
      <c r="P52" s="688">
        <v>1</v>
      </c>
      <c r="Q52" s="688">
        <v>1</v>
      </c>
      <c r="R52" s="688">
        <v>1</v>
      </c>
      <c r="S52" s="688"/>
      <c r="T52" s="688">
        <v>1</v>
      </c>
      <c r="U52" s="688"/>
      <c r="V52" s="688"/>
      <c r="W52" s="691"/>
      <c r="X52" s="691"/>
      <c r="Y52" s="688">
        <f t="shared" si="2"/>
        <v>6</v>
      </c>
      <c r="Z52" s="1600"/>
    </row>
    <row r="53" spans="1:26" ht="15" x14ac:dyDescent="0.25">
      <c r="A53" s="703" t="s">
        <v>35</v>
      </c>
      <c r="B53" s="404" t="s">
        <v>22</v>
      </c>
      <c r="C53" s="703" t="s">
        <v>10</v>
      </c>
      <c r="D53" s="397" t="s">
        <v>35</v>
      </c>
      <c r="E53" s="704" t="str">
        <f t="shared" si="0"/>
        <v>DIrish SetterMD</v>
      </c>
      <c r="F53" s="397"/>
      <c r="G53" s="397"/>
      <c r="H53" s="397"/>
      <c r="I53" s="397"/>
      <c r="J53" s="397"/>
      <c r="K53" s="397"/>
      <c r="L53" s="397"/>
      <c r="M53" s="397"/>
      <c r="N53" s="397">
        <v>1</v>
      </c>
      <c r="O53" s="397">
        <v>1</v>
      </c>
      <c r="P53" s="397">
        <v>2</v>
      </c>
      <c r="Q53" s="397">
        <v>2</v>
      </c>
      <c r="R53" s="397">
        <v>1</v>
      </c>
      <c r="S53" s="397">
        <v>1</v>
      </c>
      <c r="T53" s="397">
        <v>1</v>
      </c>
      <c r="U53" s="397"/>
      <c r="V53" s="397"/>
      <c r="W53" s="397"/>
      <c r="X53" s="402"/>
      <c r="Y53" s="397">
        <f t="shared" si="2"/>
        <v>9</v>
      </c>
      <c r="Z53" s="1599">
        <f>Y53+Y54</f>
        <v>12</v>
      </c>
    </row>
    <row r="54" spans="1:26" ht="15" x14ac:dyDescent="0.25">
      <c r="A54" s="705" t="s">
        <v>35</v>
      </c>
      <c r="B54" s="701" t="s">
        <v>22</v>
      </c>
      <c r="C54" s="705" t="s">
        <v>10</v>
      </c>
      <c r="D54" s="688" t="s">
        <v>68</v>
      </c>
      <c r="E54" s="706" t="str">
        <f t="shared" si="0"/>
        <v>DIrish SetterME2</v>
      </c>
      <c r="F54" s="691"/>
      <c r="G54" s="691"/>
      <c r="H54" s="691"/>
      <c r="I54" s="691"/>
      <c r="J54" s="688"/>
      <c r="K54" s="688"/>
      <c r="L54" s="688"/>
      <c r="M54" s="688"/>
      <c r="N54" s="688"/>
      <c r="O54" s="688"/>
      <c r="P54" s="688">
        <v>1</v>
      </c>
      <c r="Q54" s="688">
        <v>1</v>
      </c>
      <c r="R54" s="688">
        <v>1</v>
      </c>
      <c r="S54" s="688"/>
      <c r="T54" s="688"/>
      <c r="U54" s="688"/>
      <c r="V54" s="688"/>
      <c r="W54" s="691"/>
      <c r="X54" s="691"/>
      <c r="Y54" s="688">
        <f t="shared" si="2"/>
        <v>3</v>
      </c>
      <c r="Z54" s="1600"/>
    </row>
    <row r="55" spans="1:26" ht="15" x14ac:dyDescent="0.25">
      <c r="A55" s="400" t="s">
        <v>21</v>
      </c>
      <c r="B55" s="401" t="s">
        <v>9</v>
      </c>
      <c r="C55" s="703" t="s">
        <v>17</v>
      </c>
      <c r="D55" s="702" t="s">
        <v>26</v>
      </c>
      <c r="E55" s="704" t="str">
        <f>A55&amp;B55&amp;C55&amp;D55</f>
        <v>ARWBRWB</v>
      </c>
      <c r="F55" s="402"/>
      <c r="G55" s="402"/>
      <c r="H55" s="397">
        <v>1</v>
      </c>
      <c r="I55" s="397">
        <v>1</v>
      </c>
      <c r="J55" s="397">
        <v>1</v>
      </c>
      <c r="K55" s="397">
        <v>2</v>
      </c>
      <c r="L55" s="397">
        <v>2</v>
      </c>
      <c r="M55" s="397">
        <v>2</v>
      </c>
      <c r="N55" s="397">
        <v>1</v>
      </c>
      <c r="O55" s="397">
        <v>1</v>
      </c>
      <c r="P55" s="397">
        <v>1</v>
      </c>
      <c r="Q55" s="397"/>
      <c r="R55" s="397"/>
      <c r="S55" s="397"/>
      <c r="T55" s="402"/>
      <c r="U55" s="402"/>
      <c r="V55" s="402"/>
      <c r="W55" s="402"/>
      <c r="X55" s="402"/>
      <c r="Y55" s="397">
        <f t="shared" si="2"/>
        <v>12</v>
      </c>
      <c r="Z55" s="1599">
        <f t="shared" ref="Z55" si="3">Y55+Y56</f>
        <v>21</v>
      </c>
    </row>
    <row r="56" spans="1:26" s="692" customFormat="1" ht="15" x14ac:dyDescent="0.25">
      <c r="A56" s="689" t="s">
        <v>21</v>
      </c>
      <c r="B56" s="690" t="s">
        <v>9</v>
      </c>
      <c r="C56" s="705" t="s">
        <v>17</v>
      </c>
      <c r="D56" s="709" t="s">
        <v>35</v>
      </c>
      <c r="E56" s="706" t="str">
        <f>A56&amp;B56&amp;C56&amp;D56</f>
        <v>ARWBRWD</v>
      </c>
      <c r="F56" s="691"/>
      <c r="G56" s="691"/>
      <c r="H56" s="688"/>
      <c r="I56" s="688"/>
      <c r="J56" s="688">
        <v>1</v>
      </c>
      <c r="K56" s="688">
        <v>1</v>
      </c>
      <c r="L56" s="688">
        <v>2</v>
      </c>
      <c r="M56" s="688">
        <v>2</v>
      </c>
      <c r="N56" s="688">
        <v>1</v>
      </c>
      <c r="O56" s="688">
        <v>1</v>
      </c>
      <c r="P56" s="688">
        <v>1</v>
      </c>
      <c r="Q56" s="688"/>
      <c r="R56" s="688"/>
      <c r="S56" s="688"/>
      <c r="T56" s="691"/>
      <c r="U56" s="691"/>
      <c r="V56" s="691"/>
      <c r="W56" s="691"/>
      <c r="X56" s="691"/>
      <c r="Y56" s="688">
        <f t="shared" si="2"/>
        <v>9</v>
      </c>
      <c r="Z56" s="1600"/>
    </row>
    <row r="57" spans="1:26" s="696" customFormat="1" ht="15" x14ac:dyDescent="0.25">
      <c r="A57" s="707" t="s">
        <v>26</v>
      </c>
      <c r="B57" s="694" t="s">
        <v>9</v>
      </c>
      <c r="C57" s="707" t="s">
        <v>17</v>
      </c>
      <c r="D57" s="710" t="s">
        <v>26</v>
      </c>
      <c r="E57" s="708" t="str">
        <f>A57&amp;B57&amp;C57&amp;D57</f>
        <v>BRWBRWB</v>
      </c>
      <c r="F57" s="699"/>
      <c r="G57" s="699"/>
      <c r="H57" s="695"/>
      <c r="I57" s="695"/>
      <c r="J57" s="695">
        <v>1</v>
      </c>
      <c r="K57" s="695">
        <v>2</v>
      </c>
      <c r="L57" s="695">
        <v>2</v>
      </c>
      <c r="M57" s="695">
        <v>2</v>
      </c>
      <c r="N57" s="695">
        <v>1</v>
      </c>
      <c r="O57" s="695"/>
      <c r="P57" s="695"/>
      <c r="Q57" s="695"/>
      <c r="R57" s="695"/>
      <c r="S57" s="695"/>
      <c r="T57" s="699"/>
      <c r="U57" s="699"/>
      <c r="V57" s="699"/>
      <c r="W57" s="699"/>
      <c r="X57" s="699"/>
      <c r="Y57" s="695">
        <f t="shared" si="2"/>
        <v>8</v>
      </c>
      <c r="Z57" s="1598">
        <f t="shared" ref="Z57" si="4">Y57+Y58</f>
        <v>12</v>
      </c>
    </row>
    <row r="58" spans="1:26" s="692" customFormat="1" ht="15" x14ac:dyDescent="0.25">
      <c r="A58" s="705" t="s">
        <v>26</v>
      </c>
      <c r="B58" s="690" t="s">
        <v>9</v>
      </c>
      <c r="C58" s="705" t="s">
        <v>17</v>
      </c>
      <c r="D58" s="688" t="s">
        <v>35</v>
      </c>
      <c r="E58" s="706" t="str">
        <f t="shared" ref="E58" si="5">A58&amp;B58&amp;C58&amp;D58</f>
        <v>BRWBRWD</v>
      </c>
      <c r="F58" s="691"/>
      <c r="G58" s="691"/>
      <c r="H58" s="688"/>
      <c r="I58" s="688"/>
      <c r="J58" s="688"/>
      <c r="K58" s="688">
        <v>1</v>
      </c>
      <c r="L58" s="688">
        <v>1</v>
      </c>
      <c r="M58" s="688">
        <v>1</v>
      </c>
      <c r="N58" s="688">
        <v>1</v>
      </c>
      <c r="O58" s="688"/>
      <c r="P58" s="688"/>
      <c r="Q58" s="688"/>
      <c r="R58" s="688"/>
      <c r="S58" s="688"/>
      <c r="T58" s="691"/>
      <c r="U58" s="691"/>
      <c r="V58" s="691"/>
      <c r="W58" s="691"/>
      <c r="X58" s="691"/>
      <c r="Y58" s="688">
        <f t="shared" si="2"/>
        <v>4</v>
      </c>
      <c r="Z58" s="1600"/>
    </row>
    <row r="59" spans="1:26" s="696" customFormat="1" ht="15" x14ac:dyDescent="0.25">
      <c r="A59" s="693" t="s">
        <v>21</v>
      </c>
      <c r="B59" s="698" t="s">
        <v>16</v>
      </c>
      <c r="C59" s="707" t="s">
        <v>17</v>
      </c>
      <c r="D59" s="695" t="s">
        <v>10</v>
      </c>
      <c r="E59" s="708" t="str">
        <f>A59&amp;B59&amp;C59&amp;D59</f>
        <v>AWORXWM</v>
      </c>
      <c r="F59" s="699"/>
      <c r="G59" s="699"/>
      <c r="H59" s="695">
        <v>1</v>
      </c>
      <c r="I59" s="695">
        <v>1</v>
      </c>
      <c r="J59" s="695">
        <v>1</v>
      </c>
      <c r="K59" s="695">
        <v>2</v>
      </c>
      <c r="L59" s="695">
        <v>2</v>
      </c>
      <c r="M59" s="695">
        <v>2</v>
      </c>
      <c r="N59" s="695">
        <v>1</v>
      </c>
      <c r="O59" s="695">
        <v>1</v>
      </c>
      <c r="P59" s="695">
        <v>1</v>
      </c>
      <c r="Q59" s="695"/>
      <c r="R59" s="695"/>
      <c r="S59" s="695"/>
      <c r="T59" s="699"/>
      <c r="U59" s="699"/>
      <c r="V59" s="699"/>
      <c r="W59" s="699"/>
      <c r="X59" s="699"/>
      <c r="Y59" s="695">
        <f t="shared" si="2"/>
        <v>12</v>
      </c>
      <c r="Z59" s="1598">
        <f t="shared" ref="Z59" si="6">Y59+Y60</f>
        <v>21</v>
      </c>
    </row>
    <row r="60" spans="1:26" s="692" customFormat="1" ht="15" x14ac:dyDescent="0.25">
      <c r="A60" s="689" t="s">
        <v>21</v>
      </c>
      <c r="B60" s="697" t="s">
        <v>16</v>
      </c>
      <c r="C60" s="705" t="s">
        <v>17</v>
      </c>
      <c r="D60" s="688" t="s">
        <v>17</v>
      </c>
      <c r="E60" s="706" t="str">
        <f>A60&amp;B60&amp;C60&amp;D60</f>
        <v>AWORXWW</v>
      </c>
      <c r="F60" s="691"/>
      <c r="G60" s="691"/>
      <c r="H60" s="688"/>
      <c r="I60" s="688"/>
      <c r="J60" s="688">
        <v>1</v>
      </c>
      <c r="K60" s="688">
        <v>1</v>
      </c>
      <c r="L60" s="688">
        <v>2</v>
      </c>
      <c r="M60" s="688">
        <v>2</v>
      </c>
      <c r="N60" s="688">
        <v>1</v>
      </c>
      <c r="O60" s="688">
        <v>1</v>
      </c>
      <c r="P60" s="688">
        <v>1</v>
      </c>
      <c r="Q60" s="688"/>
      <c r="R60" s="688"/>
      <c r="S60" s="688"/>
      <c r="T60" s="691"/>
      <c r="U60" s="691"/>
      <c r="V60" s="691"/>
      <c r="W60" s="691"/>
      <c r="X60" s="691"/>
      <c r="Y60" s="688">
        <f t="shared" si="2"/>
        <v>9</v>
      </c>
      <c r="Z60" s="1600"/>
    </row>
    <row r="61" spans="1:26" s="696" customFormat="1" ht="15" x14ac:dyDescent="0.25">
      <c r="A61" s="707" t="s">
        <v>26</v>
      </c>
      <c r="B61" s="698" t="s">
        <v>16</v>
      </c>
      <c r="C61" s="707" t="s">
        <v>17</v>
      </c>
      <c r="D61" s="695" t="s">
        <v>10</v>
      </c>
      <c r="E61" s="708" t="str">
        <f>A61&amp;B61&amp;C61&amp;D61</f>
        <v>BWORXWM</v>
      </c>
      <c r="F61" s="699"/>
      <c r="G61" s="699"/>
      <c r="H61" s="695"/>
      <c r="I61" s="695"/>
      <c r="J61" s="695">
        <v>1</v>
      </c>
      <c r="K61" s="695">
        <v>2</v>
      </c>
      <c r="L61" s="695">
        <v>2</v>
      </c>
      <c r="M61" s="695">
        <v>2</v>
      </c>
      <c r="N61" s="695">
        <v>1</v>
      </c>
      <c r="O61" s="695"/>
      <c r="P61" s="695"/>
      <c r="Q61" s="695"/>
      <c r="R61" s="695"/>
      <c r="S61" s="695"/>
      <c r="T61" s="699"/>
      <c r="U61" s="699"/>
      <c r="V61" s="699"/>
      <c r="W61" s="699"/>
      <c r="X61" s="699"/>
      <c r="Y61" s="695">
        <f t="shared" si="2"/>
        <v>8</v>
      </c>
      <c r="Z61" s="1598">
        <f t="shared" ref="Z61" si="7">Y61+Y62</f>
        <v>12</v>
      </c>
    </row>
    <row r="62" spans="1:26" s="692" customFormat="1" ht="15" x14ac:dyDescent="0.25">
      <c r="A62" s="705" t="s">
        <v>26</v>
      </c>
      <c r="B62" s="697" t="s">
        <v>16</v>
      </c>
      <c r="C62" s="705" t="s">
        <v>17</v>
      </c>
      <c r="D62" s="688" t="s">
        <v>17</v>
      </c>
      <c r="E62" s="706" t="str">
        <f t="shared" ref="E62" si="8">A62&amp;B62&amp;C62&amp;D62</f>
        <v>BWORXWW</v>
      </c>
      <c r="F62" s="691"/>
      <c r="G62" s="691"/>
      <c r="H62" s="688"/>
      <c r="I62" s="688"/>
      <c r="J62" s="688"/>
      <c r="K62" s="688">
        <v>1</v>
      </c>
      <c r="L62" s="688">
        <v>1</v>
      </c>
      <c r="M62" s="688">
        <v>1</v>
      </c>
      <c r="N62" s="688">
        <v>1</v>
      </c>
      <c r="O62" s="688"/>
      <c r="P62" s="688"/>
      <c r="Q62" s="688"/>
      <c r="R62" s="688"/>
      <c r="S62" s="688"/>
      <c r="T62" s="691"/>
      <c r="U62" s="691"/>
      <c r="V62" s="691"/>
      <c r="W62" s="691"/>
      <c r="X62" s="691"/>
      <c r="Y62" s="688">
        <f t="shared" si="2"/>
        <v>4</v>
      </c>
      <c r="Z62" s="1600"/>
    </row>
    <row r="63" spans="1:26" ht="15" x14ac:dyDescent="0.25">
      <c r="A63" s="400" t="s">
        <v>21</v>
      </c>
      <c r="B63" s="404" t="s">
        <v>22</v>
      </c>
      <c r="C63" s="703" t="s">
        <v>17</v>
      </c>
      <c r="D63" s="397" t="s">
        <v>26</v>
      </c>
      <c r="E63" s="704" t="str">
        <f>A63&amp;B63&amp;C63&amp;D63</f>
        <v>AIrish SetterWB</v>
      </c>
      <c r="F63" s="402"/>
      <c r="G63" s="402"/>
      <c r="H63" s="397">
        <v>1</v>
      </c>
      <c r="I63" s="397">
        <v>1</v>
      </c>
      <c r="J63" s="397">
        <v>1</v>
      </c>
      <c r="K63" s="397">
        <v>2</v>
      </c>
      <c r="L63" s="397">
        <v>2</v>
      </c>
      <c r="M63" s="397">
        <v>2</v>
      </c>
      <c r="N63" s="397">
        <v>1</v>
      </c>
      <c r="O63" s="397">
        <v>1</v>
      </c>
      <c r="P63" s="397">
        <v>1</v>
      </c>
      <c r="Q63" s="397"/>
      <c r="R63" s="397"/>
      <c r="S63" s="397"/>
      <c r="T63" s="402"/>
      <c r="U63" s="402"/>
      <c r="V63" s="402"/>
      <c r="W63" s="402"/>
      <c r="X63" s="402"/>
      <c r="Y63" s="397">
        <f t="shared" si="2"/>
        <v>12</v>
      </c>
      <c r="Z63" s="1598">
        <f t="shared" ref="Z63" si="9">Y63+Y64</f>
        <v>21</v>
      </c>
    </row>
    <row r="64" spans="1:26" ht="15" x14ac:dyDescent="0.25">
      <c r="A64" s="400" t="s">
        <v>21</v>
      </c>
      <c r="B64" s="404" t="s">
        <v>22</v>
      </c>
      <c r="C64" s="703" t="s">
        <v>17</v>
      </c>
      <c r="D64" s="397" t="s">
        <v>35</v>
      </c>
      <c r="E64" s="704" t="str">
        <f>A64&amp;B64&amp;C64&amp;D64</f>
        <v>AIrish SetterWD</v>
      </c>
      <c r="F64" s="402"/>
      <c r="G64" s="402"/>
      <c r="H64" s="397"/>
      <c r="I64" s="397"/>
      <c r="J64" s="397">
        <v>1</v>
      </c>
      <c r="K64" s="397">
        <v>1</v>
      </c>
      <c r="L64" s="397">
        <v>2</v>
      </c>
      <c r="M64" s="397">
        <v>2</v>
      </c>
      <c r="N64" s="397">
        <v>1</v>
      </c>
      <c r="O64" s="397">
        <v>1</v>
      </c>
      <c r="P64" s="397">
        <v>1</v>
      </c>
      <c r="Q64" s="397"/>
      <c r="R64" s="397"/>
      <c r="S64" s="397"/>
      <c r="T64" s="402"/>
      <c r="U64" s="402"/>
      <c r="V64" s="402"/>
      <c r="W64" s="402"/>
      <c r="X64" s="402"/>
      <c r="Y64" s="397">
        <f t="shared" si="2"/>
        <v>9</v>
      </c>
      <c r="Z64" s="1599"/>
    </row>
    <row r="65" spans="1:26" ht="15" x14ac:dyDescent="0.25">
      <c r="A65" s="703" t="s">
        <v>26</v>
      </c>
      <c r="B65" s="404" t="s">
        <v>22</v>
      </c>
      <c r="C65" s="703" t="s">
        <v>17</v>
      </c>
      <c r="D65" s="397" t="s">
        <v>26</v>
      </c>
      <c r="E65" s="704" t="str">
        <f>A65&amp;B65&amp;C65&amp;D65</f>
        <v>BIrish SetterWB</v>
      </c>
      <c r="F65" s="402"/>
      <c r="G65" s="402"/>
      <c r="H65" s="397"/>
      <c r="I65" s="397"/>
      <c r="J65" s="397">
        <v>1</v>
      </c>
      <c r="K65" s="397">
        <v>2</v>
      </c>
      <c r="L65" s="397">
        <v>2</v>
      </c>
      <c r="M65" s="397">
        <v>2</v>
      </c>
      <c r="N65" s="397">
        <v>1</v>
      </c>
      <c r="O65" s="397"/>
      <c r="P65" s="397"/>
      <c r="Q65" s="397"/>
      <c r="R65" s="397"/>
      <c r="S65" s="397"/>
      <c r="T65" s="402"/>
      <c r="U65" s="402"/>
      <c r="V65" s="402"/>
      <c r="W65" s="402"/>
      <c r="X65" s="402"/>
      <c r="Y65" s="397">
        <f t="shared" si="2"/>
        <v>8</v>
      </c>
      <c r="Z65" s="400">
        <f t="shared" ref="Z65" si="10">Y65+Y66</f>
        <v>12</v>
      </c>
    </row>
    <row r="66" spans="1:26" ht="15" x14ac:dyDescent="0.25">
      <c r="A66" s="703" t="s">
        <v>26</v>
      </c>
      <c r="B66" s="404" t="s">
        <v>22</v>
      </c>
      <c r="C66" s="703" t="s">
        <v>17</v>
      </c>
      <c r="D66" s="397" t="s">
        <v>35</v>
      </c>
      <c r="E66" s="704" t="str">
        <f t="shared" ref="E66" si="11">A66&amp;B66&amp;C66&amp;D66</f>
        <v>BIrish SetterWD</v>
      </c>
      <c r="F66" s="402"/>
      <c r="G66" s="402"/>
      <c r="H66" s="397"/>
      <c r="I66" s="397"/>
      <c r="J66" s="397"/>
      <c r="K66" s="397">
        <v>1</v>
      </c>
      <c r="L66" s="397">
        <v>1</v>
      </c>
      <c r="M66" s="397">
        <v>1</v>
      </c>
      <c r="N66" s="397">
        <v>1</v>
      </c>
      <c r="O66" s="397"/>
      <c r="P66" s="397"/>
      <c r="Q66" s="397"/>
      <c r="R66" s="397"/>
      <c r="S66" s="397"/>
      <c r="T66" s="402"/>
      <c r="U66" s="402"/>
      <c r="V66" s="402"/>
      <c r="W66" s="402"/>
      <c r="X66" s="402"/>
      <c r="Y66" s="397">
        <f t="shared" si="2"/>
        <v>4</v>
      </c>
      <c r="Z66" s="400"/>
    </row>
    <row r="67" spans="1:26" ht="15" x14ac:dyDescent="0.25">
      <c r="A67" s="400" t="s">
        <v>21</v>
      </c>
      <c r="B67" s="711" t="s">
        <v>28</v>
      </c>
      <c r="C67" s="703" t="s">
        <v>10</v>
      </c>
      <c r="D67" s="702" t="s">
        <v>72</v>
      </c>
      <c r="E67" s="704" t="str">
        <f>A67&amp;B67&amp;C67&amp;D67</f>
        <v>ARubberME</v>
      </c>
      <c r="F67" s="397"/>
      <c r="G67" s="402"/>
      <c r="H67" s="397"/>
      <c r="I67" s="402"/>
      <c r="J67" s="397"/>
      <c r="K67" s="402"/>
      <c r="L67" s="397">
        <v>1</v>
      </c>
      <c r="M67" s="402"/>
      <c r="N67" s="397">
        <v>2</v>
      </c>
      <c r="O67" s="402"/>
      <c r="P67" s="397">
        <v>3</v>
      </c>
      <c r="Q67" s="402"/>
      <c r="R67" s="397">
        <v>3</v>
      </c>
      <c r="S67" s="402"/>
      <c r="T67" s="397">
        <v>2</v>
      </c>
      <c r="U67" s="397">
        <v>1</v>
      </c>
      <c r="V67" s="397"/>
      <c r="W67" s="402"/>
      <c r="X67" s="402"/>
      <c r="Y67" s="397">
        <f t="shared" ref="Y67:Y84" si="12">SUM(F67:X67)</f>
        <v>12</v>
      </c>
      <c r="Z67" s="400">
        <f t="shared" ref="Z67" si="13">Y67+Y68</f>
        <v>20</v>
      </c>
    </row>
    <row r="68" spans="1:26" ht="15" x14ac:dyDescent="0.25">
      <c r="A68" s="703" t="s">
        <v>26</v>
      </c>
      <c r="B68" s="711" t="s">
        <v>28</v>
      </c>
      <c r="C68" s="703" t="s">
        <v>10</v>
      </c>
      <c r="D68" s="702" t="s">
        <v>72</v>
      </c>
      <c r="E68" s="704" t="str">
        <f>A68&amp;B68&amp;C68&amp;D68</f>
        <v>BRubberME</v>
      </c>
      <c r="F68" s="397"/>
      <c r="G68" s="402"/>
      <c r="H68" s="397"/>
      <c r="I68" s="402"/>
      <c r="J68" s="397"/>
      <c r="K68" s="402"/>
      <c r="L68" s="397"/>
      <c r="M68" s="402"/>
      <c r="N68" s="397">
        <v>1</v>
      </c>
      <c r="O68" s="402"/>
      <c r="P68" s="397">
        <v>2</v>
      </c>
      <c r="Q68" s="402"/>
      <c r="R68" s="397">
        <v>2</v>
      </c>
      <c r="S68" s="402"/>
      <c r="T68" s="397">
        <v>2</v>
      </c>
      <c r="U68" s="397">
        <v>1</v>
      </c>
      <c r="V68" s="397"/>
      <c r="W68" s="402"/>
      <c r="X68" s="402"/>
      <c r="Y68" s="397">
        <f t="shared" si="12"/>
        <v>8</v>
      </c>
      <c r="Z68" s="400"/>
    </row>
    <row r="69" spans="1:26" ht="15" x14ac:dyDescent="0.25">
      <c r="A69" s="703" t="s">
        <v>21</v>
      </c>
      <c r="B69" s="711" t="s">
        <v>28</v>
      </c>
      <c r="C69" s="703" t="s">
        <v>10</v>
      </c>
      <c r="D69" s="702" t="s">
        <v>35</v>
      </c>
      <c r="E69" s="704" t="str">
        <f>A69&amp;B69&amp;C69&amp;D69</f>
        <v>ARubberMD</v>
      </c>
      <c r="F69" s="397"/>
      <c r="G69" s="402"/>
      <c r="H69" s="397"/>
      <c r="I69" s="402"/>
      <c r="J69" s="397"/>
      <c r="K69" s="402"/>
      <c r="L69" s="397">
        <v>1</v>
      </c>
      <c r="M69" s="402"/>
      <c r="N69" s="397">
        <v>2</v>
      </c>
      <c r="O69" s="402"/>
      <c r="P69" s="397">
        <v>3</v>
      </c>
      <c r="Q69" s="402"/>
      <c r="R69" s="397">
        <v>3</v>
      </c>
      <c r="S69" s="402"/>
      <c r="T69" s="397">
        <v>2</v>
      </c>
      <c r="U69" s="397">
        <v>1</v>
      </c>
      <c r="V69" s="397"/>
      <c r="W69" s="402"/>
      <c r="X69" s="402"/>
      <c r="Y69" s="397">
        <f t="shared" si="12"/>
        <v>12</v>
      </c>
      <c r="Z69" s="400">
        <f t="shared" ref="Z69" si="14">Y69+Y70</f>
        <v>20</v>
      </c>
    </row>
    <row r="70" spans="1:26" ht="15" x14ac:dyDescent="0.25">
      <c r="A70" s="703" t="s">
        <v>26</v>
      </c>
      <c r="B70" s="711" t="s">
        <v>28</v>
      </c>
      <c r="C70" s="703" t="s">
        <v>10</v>
      </c>
      <c r="D70" s="702" t="s">
        <v>35</v>
      </c>
      <c r="E70" s="704" t="str">
        <f t="shared" ref="E70:E84" si="15">A70&amp;B70&amp;C70&amp;D70</f>
        <v>BRubberMD</v>
      </c>
      <c r="F70" s="397"/>
      <c r="G70" s="402"/>
      <c r="H70" s="397"/>
      <c r="I70" s="402"/>
      <c r="J70" s="397"/>
      <c r="K70" s="402"/>
      <c r="L70" s="397"/>
      <c r="M70" s="402"/>
      <c r="N70" s="397">
        <v>1</v>
      </c>
      <c r="O70" s="402"/>
      <c r="P70" s="397">
        <v>2</v>
      </c>
      <c r="Q70" s="402"/>
      <c r="R70" s="397">
        <v>2</v>
      </c>
      <c r="S70" s="402"/>
      <c r="T70" s="397">
        <v>2</v>
      </c>
      <c r="U70" s="397">
        <v>1</v>
      </c>
      <c r="V70" s="397"/>
      <c r="W70" s="402"/>
      <c r="X70" s="402"/>
      <c r="Y70" s="397">
        <f t="shared" si="12"/>
        <v>8</v>
      </c>
      <c r="Z70" s="400"/>
    </row>
    <row r="71" spans="1:26" ht="15" x14ac:dyDescent="0.25">
      <c r="A71" s="703" t="s">
        <v>21</v>
      </c>
      <c r="B71" s="711" t="s">
        <v>28</v>
      </c>
      <c r="C71" s="703" t="s">
        <v>10</v>
      </c>
      <c r="D71" s="702" t="s">
        <v>35</v>
      </c>
      <c r="E71" s="704" t="str">
        <f>A71&amp;B71&amp;C71&amp;D71</f>
        <v>ARubberMD</v>
      </c>
      <c r="F71" s="397"/>
      <c r="G71" s="402"/>
      <c r="H71" s="397"/>
      <c r="I71" s="402"/>
      <c r="J71" s="397"/>
      <c r="K71" s="402"/>
      <c r="L71" s="397">
        <v>1</v>
      </c>
      <c r="M71" s="402"/>
      <c r="N71" s="397">
        <v>2</v>
      </c>
      <c r="O71" s="402"/>
      <c r="P71" s="397">
        <v>3</v>
      </c>
      <c r="Q71" s="402"/>
      <c r="R71" s="397">
        <v>3</v>
      </c>
      <c r="S71" s="402"/>
      <c r="T71" s="397">
        <v>2</v>
      </c>
      <c r="U71" s="397">
        <v>1</v>
      </c>
      <c r="V71" s="397"/>
      <c r="W71" s="402"/>
      <c r="X71" s="402"/>
      <c r="Y71" s="397">
        <f t="shared" si="12"/>
        <v>12</v>
      </c>
      <c r="Z71" s="400">
        <f t="shared" ref="Z71" si="16">Y71+Y72</f>
        <v>20</v>
      </c>
    </row>
    <row r="72" spans="1:26" ht="15" x14ac:dyDescent="0.25">
      <c r="A72" s="703" t="s">
        <v>21</v>
      </c>
      <c r="B72" s="711" t="s">
        <v>28</v>
      </c>
      <c r="C72" s="703" t="s">
        <v>10</v>
      </c>
      <c r="D72" s="702" t="s">
        <v>68</v>
      </c>
      <c r="E72" s="704" t="str">
        <f t="shared" ref="E72" si="17">A72&amp;B72&amp;C72&amp;D72</f>
        <v>ARubberME2</v>
      </c>
      <c r="F72" s="397"/>
      <c r="G72" s="402"/>
      <c r="H72" s="397"/>
      <c r="I72" s="402"/>
      <c r="J72" s="397"/>
      <c r="K72" s="402"/>
      <c r="L72" s="397"/>
      <c r="M72" s="402"/>
      <c r="N72" s="397">
        <v>1</v>
      </c>
      <c r="O72" s="402"/>
      <c r="P72" s="397">
        <v>2</v>
      </c>
      <c r="Q72" s="402"/>
      <c r="R72" s="397">
        <v>2</v>
      </c>
      <c r="S72" s="402"/>
      <c r="T72" s="397">
        <v>2</v>
      </c>
      <c r="U72" s="397">
        <v>1</v>
      </c>
      <c r="V72" s="397"/>
      <c r="W72" s="402"/>
      <c r="X72" s="402"/>
      <c r="Y72" s="397">
        <f t="shared" si="12"/>
        <v>8</v>
      </c>
      <c r="Z72" s="400"/>
    </row>
    <row r="73" spans="1:26" ht="15" x14ac:dyDescent="0.25">
      <c r="A73" s="400" t="s">
        <v>21</v>
      </c>
      <c r="B73" s="712" t="s">
        <v>198</v>
      </c>
      <c r="C73" s="703" t="s">
        <v>10</v>
      </c>
      <c r="D73" s="397" t="s">
        <v>10</v>
      </c>
      <c r="E73" s="704" t="str">
        <f t="shared" si="15"/>
        <v>AVASQMM</v>
      </c>
      <c r="F73" s="402"/>
      <c r="G73" s="402"/>
      <c r="H73" s="402"/>
      <c r="I73" s="402"/>
      <c r="J73" s="397"/>
      <c r="K73" s="397"/>
      <c r="L73" s="397">
        <v>1</v>
      </c>
      <c r="M73" s="397">
        <v>1</v>
      </c>
      <c r="N73" s="397">
        <v>2</v>
      </c>
      <c r="O73" s="397">
        <v>2</v>
      </c>
      <c r="P73" s="397">
        <v>3</v>
      </c>
      <c r="Q73" s="397">
        <v>3</v>
      </c>
      <c r="R73" s="397">
        <v>3</v>
      </c>
      <c r="S73" s="397">
        <v>1</v>
      </c>
      <c r="T73" s="397">
        <v>2</v>
      </c>
      <c r="U73" s="397">
        <v>1</v>
      </c>
      <c r="V73" s="397"/>
      <c r="W73" s="402"/>
      <c r="X73" s="402"/>
      <c r="Y73" s="397">
        <f t="shared" si="12"/>
        <v>19</v>
      </c>
      <c r="Z73" s="400">
        <f>Y73+Y74</f>
        <v>31</v>
      </c>
    </row>
    <row r="74" spans="1:26" ht="15" x14ac:dyDescent="0.25">
      <c r="A74" s="400" t="s">
        <v>21</v>
      </c>
      <c r="B74" s="712" t="s">
        <v>198</v>
      </c>
      <c r="C74" s="703" t="s">
        <v>10</v>
      </c>
      <c r="D74" s="702" t="s">
        <v>17</v>
      </c>
      <c r="E74" s="704" t="str">
        <f t="shared" si="15"/>
        <v>AVASQMW</v>
      </c>
      <c r="F74" s="402"/>
      <c r="G74" s="402"/>
      <c r="H74" s="402"/>
      <c r="I74" s="402"/>
      <c r="J74" s="402"/>
      <c r="K74" s="402"/>
      <c r="L74" s="397"/>
      <c r="M74" s="397">
        <v>1</v>
      </c>
      <c r="N74" s="397">
        <v>1</v>
      </c>
      <c r="O74" s="397">
        <v>1</v>
      </c>
      <c r="P74" s="397">
        <v>2</v>
      </c>
      <c r="Q74" s="397">
        <v>2</v>
      </c>
      <c r="R74" s="397">
        <v>2</v>
      </c>
      <c r="S74" s="397">
        <v>1</v>
      </c>
      <c r="T74" s="397">
        <v>1</v>
      </c>
      <c r="U74" s="397">
        <v>1</v>
      </c>
      <c r="V74" s="397"/>
      <c r="W74" s="402"/>
      <c r="X74" s="402"/>
      <c r="Y74" s="397">
        <f t="shared" si="12"/>
        <v>12</v>
      </c>
      <c r="Z74" s="400"/>
    </row>
    <row r="75" spans="1:26" ht="15" x14ac:dyDescent="0.25">
      <c r="A75" s="703" t="s">
        <v>26</v>
      </c>
      <c r="B75" s="712" t="s">
        <v>198</v>
      </c>
      <c r="C75" s="703" t="s">
        <v>10</v>
      </c>
      <c r="D75" s="397" t="s">
        <v>10</v>
      </c>
      <c r="E75" s="704" t="str">
        <f t="shared" si="15"/>
        <v>BVASQMM</v>
      </c>
      <c r="F75" s="402"/>
      <c r="G75" s="402"/>
      <c r="H75" s="402"/>
      <c r="I75" s="402"/>
      <c r="J75" s="397"/>
      <c r="K75" s="397"/>
      <c r="L75" s="397"/>
      <c r="M75" s="397">
        <v>1</v>
      </c>
      <c r="N75" s="397">
        <v>2</v>
      </c>
      <c r="O75" s="397">
        <v>2</v>
      </c>
      <c r="P75" s="397">
        <v>3</v>
      </c>
      <c r="Q75" s="397">
        <v>3</v>
      </c>
      <c r="R75" s="397">
        <v>3</v>
      </c>
      <c r="S75" s="397">
        <v>1</v>
      </c>
      <c r="T75" s="397">
        <v>2</v>
      </c>
      <c r="U75" s="397">
        <v>1</v>
      </c>
      <c r="V75" s="397"/>
      <c r="W75" s="402"/>
      <c r="X75" s="402"/>
      <c r="Y75" s="397">
        <f t="shared" si="12"/>
        <v>18</v>
      </c>
      <c r="Z75" s="400">
        <f>Y75+Y76</f>
        <v>27</v>
      </c>
    </row>
    <row r="76" spans="1:26" ht="15" x14ac:dyDescent="0.25">
      <c r="A76" s="703" t="s">
        <v>26</v>
      </c>
      <c r="B76" s="712" t="s">
        <v>198</v>
      </c>
      <c r="C76" s="703" t="s">
        <v>10</v>
      </c>
      <c r="D76" s="702" t="s">
        <v>17</v>
      </c>
      <c r="E76" s="704" t="str">
        <f t="shared" si="15"/>
        <v>BVASQMW</v>
      </c>
      <c r="F76" s="402"/>
      <c r="G76" s="402"/>
      <c r="H76" s="402"/>
      <c r="I76" s="402"/>
      <c r="J76" s="402"/>
      <c r="K76" s="402"/>
      <c r="L76" s="397"/>
      <c r="M76" s="397"/>
      <c r="N76" s="397"/>
      <c r="O76" s="397">
        <v>1</v>
      </c>
      <c r="P76" s="397">
        <v>2</v>
      </c>
      <c r="Q76" s="397">
        <v>2</v>
      </c>
      <c r="R76" s="397">
        <v>2</v>
      </c>
      <c r="S76" s="397">
        <v>1</v>
      </c>
      <c r="T76" s="397">
        <v>1</v>
      </c>
      <c r="U76" s="397"/>
      <c r="V76" s="397"/>
      <c r="W76" s="402"/>
      <c r="X76" s="402"/>
      <c r="Y76" s="397">
        <f t="shared" si="12"/>
        <v>9</v>
      </c>
      <c r="Z76" s="400"/>
    </row>
    <row r="77" spans="1:26" ht="15" x14ac:dyDescent="0.25">
      <c r="A77" s="703" t="s">
        <v>32</v>
      </c>
      <c r="B77" s="712" t="s">
        <v>198</v>
      </c>
      <c r="C77" s="703" t="s">
        <v>10</v>
      </c>
      <c r="D77" s="397" t="s">
        <v>10</v>
      </c>
      <c r="E77" s="704" t="str">
        <f t="shared" si="15"/>
        <v>CVASQMM</v>
      </c>
      <c r="F77" s="402"/>
      <c r="G77" s="402"/>
      <c r="H77" s="402"/>
      <c r="I77" s="402"/>
      <c r="J77" s="397"/>
      <c r="K77" s="397"/>
      <c r="L77" s="397"/>
      <c r="M77" s="397">
        <v>1</v>
      </c>
      <c r="N77" s="397">
        <v>1</v>
      </c>
      <c r="O77" s="397">
        <v>2</v>
      </c>
      <c r="P77" s="397">
        <v>2</v>
      </c>
      <c r="Q77" s="397">
        <v>2</v>
      </c>
      <c r="R77" s="397">
        <v>2</v>
      </c>
      <c r="S77" s="397">
        <v>1</v>
      </c>
      <c r="T77" s="397">
        <v>2</v>
      </c>
      <c r="U77" s="397"/>
      <c r="V77" s="397"/>
      <c r="W77" s="402"/>
      <c r="X77" s="402"/>
      <c r="Y77" s="397">
        <f t="shared" si="12"/>
        <v>13</v>
      </c>
      <c r="Z77" s="400">
        <f>Y77+Y78</f>
        <v>19</v>
      </c>
    </row>
    <row r="78" spans="1:26" ht="15" x14ac:dyDescent="0.25">
      <c r="A78" s="703" t="s">
        <v>32</v>
      </c>
      <c r="B78" s="712" t="s">
        <v>198</v>
      </c>
      <c r="C78" s="703" t="s">
        <v>10</v>
      </c>
      <c r="D78" s="702" t="s">
        <v>17</v>
      </c>
      <c r="E78" s="704" t="str">
        <f t="shared" si="15"/>
        <v>CVASQMW</v>
      </c>
      <c r="F78" s="402"/>
      <c r="G78" s="402"/>
      <c r="H78" s="402"/>
      <c r="I78" s="402"/>
      <c r="J78" s="402"/>
      <c r="K78" s="402"/>
      <c r="L78" s="397"/>
      <c r="M78" s="397"/>
      <c r="N78" s="397">
        <v>1</v>
      </c>
      <c r="O78" s="397">
        <v>1</v>
      </c>
      <c r="P78" s="397">
        <v>1</v>
      </c>
      <c r="Q78" s="397">
        <v>1</v>
      </c>
      <c r="R78" s="397">
        <v>1</v>
      </c>
      <c r="S78" s="397"/>
      <c r="T78" s="397">
        <v>1</v>
      </c>
      <c r="U78" s="397"/>
      <c r="V78" s="397"/>
      <c r="W78" s="402"/>
      <c r="X78" s="402"/>
      <c r="Y78" s="397">
        <f t="shared" si="12"/>
        <v>6</v>
      </c>
      <c r="Z78" s="400"/>
    </row>
    <row r="79" spans="1:26" ht="15" x14ac:dyDescent="0.25">
      <c r="A79" s="703" t="s">
        <v>35</v>
      </c>
      <c r="B79" s="712" t="s">
        <v>198</v>
      </c>
      <c r="C79" s="703" t="s">
        <v>10</v>
      </c>
      <c r="D79" s="397" t="s">
        <v>10</v>
      </c>
      <c r="E79" s="704" t="str">
        <f t="shared" si="15"/>
        <v>DVASQMM</v>
      </c>
      <c r="F79" s="402"/>
      <c r="G79" s="402"/>
      <c r="H79" s="402"/>
      <c r="I79" s="402"/>
      <c r="J79" s="397"/>
      <c r="K79" s="397"/>
      <c r="L79" s="397"/>
      <c r="M79" s="397"/>
      <c r="N79" s="397">
        <v>1</v>
      </c>
      <c r="O79" s="397">
        <v>1</v>
      </c>
      <c r="P79" s="397">
        <v>2</v>
      </c>
      <c r="Q79" s="397">
        <v>2</v>
      </c>
      <c r="R79" s="397">
        <v>1</v>
      </c>
      <c r="S79" s="397">
        <v>1</v>
      </c>
      <c r="T79" s="397">
        <v>1</v>
      </c>
      <c r="U79" s="397"/>
      <c r="V79" s="397"/>
      <c r="W79" s="402"/>
      <c r="X79" s="402"/>
      <c r="Y79" s="397">
        <f t="shared" si="12"/>
        <v>9</v>
      </c>
      <c r="Z79" s="400">
        <f>Y79+Y80</f>
        <v>12</v>
      </c>
    </row>
    <row r="80" spans="1:26" ht="15" x14ac:dyDescent="0.25">
      <c r="A80" s="703" t="s">
        <v>35</v>
      </c>
      <c r="B80" s="712" t="s">
        <v>198</v>
      </c>
      <c r="C80" s="703" t="s">
        <v>10</v>
      </c>
      <c r="D80" s="702" t="s">
        <v>17</v>
      </c>
      <c r="E80" s="704" t="str">
        <f t="shared" si="15"/>
        <v>DVASQMW</v>
      </c>
      <c r="F80" s="402"/>
      <c r="G80" s="402"/>
      <c r="H80" s="402"/>
      <c r="I80" s="402"/>
      <c r="J80" s="402"/>
      <c r="K80" s="402"/>
      <c r="L80" s="397"/>
      <c r="M80" s="397"/>
      <c r="N80" s="397"/>
      <c r="O80" s="397"/>
      <c r="P80" s="397">
        <v>1</v>
      </c>
      <c r="Q80" s="397">
        <v>1</v>
      </c>
      <c r="R80" s="397">
        <v>1</v>
      </c>
      <c r="S80" s="397"/>
      <c r="T80" s="397"/>
      <c r="U80" s="397"/>
      <c r="V80" s="397"/>
      <c r="W80" s="402"/>
      <c r="X80" s="402"/>
      <c r="Y80" s="397">
        <f t="shared" si="12"/>
        <v>3</v>
      </c>
      <c r="Z80" s="400"/>
    </row>
    <row r="81" spans="1:26" ht="15" x14ac:dyDescent="0.25">
      <c r="A81" s="400" t="s">
        <v>21</v>
      </c>
      <c r="B81" s="712" t="s">
        <v>198</v>
      </c>
      <c r="C81" s="703" t="s">
        <v>17</v>
      </c>
      <c r="D81" s="397" t="s">
        <v>10</v>
      </c>
      <c r="E81" s="704" t="str">
        <f t="shared" si="15"/>
        <v>AVASQWM</v>
      </c>
      <c r="F81" s="402"/>
      <c r="G81" s="402"/>
      <c r="H81" s="397">
        <v>1</v>
      </c>
      <c r="I81" s="397">
        <v>1</v>
      </c>
      <c r="J81" s="397">
        <v>1</v>
      </c>
      <c r="K81" s="397">
        <v>2</v>
      </c>
      <c r="L81" s="397">
        <v>2</v>
      </c>
      <c r="M81" s="397">
        <v>2</v>
      </c>
      <c r="N81" s="397">
        <v>1</v>
      </c>
      <c r="O81" s="397">
        <v>1</v>
      </c>
      <c r="P81" s="397">
        <v>1</v>
      </c>
      <c r="Q81" s="397"/>
      <c r="R81" s="397"/>
      <c r="S81" s="397"/>
      <c r="T81" s="397"/>
      <c r="U81" s="397"/>
      <c r="V81" s="397"/>
      <c r="W81" s="402"/>
      <c r="X81" s="402"/>
      <c r="Y81" s="397">
        <f t="shared" si="12"/>
        <v>12</v>
      </c>
      <c r="Z81" s="400">
        <f>Y81+Y82</f>
        <v>21</v>
      </c>
    </row>
    <row r="82" spans="1:26" ht="15" x14ac:dyDescent="0.25">
      <c r="A82" s="400" t="s">
        <v>21</v>
      </c>
      <c r="B82" s="712" t="s">
        <v>198</v>
      </c>
      <c r="C82" s="703" t="s">
        <v>17</v>
      </c>
      <c r="D82" s="702" t="s">
        <v>17</v>
      </c>
      <c r="E82" s="704" t="str">
        <f t="shared" si="15"/>
        <v>AVASQWW</v>
      </c>
      <c r="F82" s="402"/>
      <c r="G82" s="402"/>
      <c r="H82" s="397"/>
      <c r="I82" s="397"/>
      <c r="J82" s="397">
        <v>1</v>
      </c>
      <c r="K82" s="397">
        <v>1</v>
      </c>
      <c r="L82" s="397">
        <v>2</v>
      </c>
      <c r="M82" s="397">
        <v>2</v>
      </c>
      <c r="N82" s="397">
        <v>1</v>
      </c>
      <c r="O82" s="397">
        <v>1</v>
      </c>
      <c r="P82" s="397">
        <v>1</v>
      </c>
      <c r="Q82" s="397"/>
      <c r="R82" s="397"/>
      <c r="S82" s="397"/>
      <c r="T82" s="397"/>
      <c r="U82" s="397"/>
      <c r="V82" s="397"/>
      <c r="W82" s="402"/>
      <c r="X82" s="402"/>
      <c r="Y82" s="397">
        <f t="shared" si="12"/>
        <v>9</v>
      </c>
      <c r="Z82" s="400"/>
    </row>
    <row r="83" spans="1:26" ht="15" x14ac:dyDescent="0.25">
      <c r="A83" s="703" t="s">
        <v>26</v>
      </c>
      <c r="B83" s="712" t="s">
        <v>198</v>
      </c>
      <c r="C83" s="703" t="s">
        <v>17</v>
      </c>
      <c r="D83" s="397" t="s">
        <v>10</v>
      </c>
      <c r="E83" s="704" t="str">
        <f t="shared" si="15"/>
        <v>BVASQWM</v>
      </c>
      <c r="F83" s="402"/>
      <c r="G83" s="402"/>
      <c r="H83" s="397"/>
      <c r="I83" s="397"/>
      <c r="J83" s="397">
        <v>1</v>
      </c>
      <c r="K83" s="397">
        <v>2</v>
      </c>
      <c r="L83" s="397">
        <v>2</v>
      </c>
      <c r="M83" s="397">
        <v>2</v>
      </c>
      <c r="N83" s="397">
        <v>1</v>
      </c>
      <c r="O83" s="397"/>
      <c r="P83" s="397"/>
      <c r="Q83" s="397"/>
      <c r="R83" s="397"/>
      <c r="S83" s="397"/>
      <c r="T83" s="397"/>
      <c r="U83" s="397"/>
      <c r="V83" s="397"/>
      <c r="W83" s="402"/>
      <c r="X83" s="402"/>
      <c r="Y83" s="397">
        <f t="shared" si="12"/>
        <v>8</v>
      </c>
      <c r="Z83" s="400">
        <f>Y83+Y84</f>
        <v>12</v>
      </c>
    </row>
    <row r="84" spans="1:26" ht="15" x14ac:dyDescent="0.25">
      <c r="A84" s="703" t="s">
        <v>26</v>
      </c>
      <c r="B84" s="712" t="s">
        <v>198</v>
      </c>
      <c r="C84" s="703" t="s">
        <v>17</v>
      </c>
      <c r="D84" s="702" t="s">
        <v>17</v>
      </c>
      <c r="E84" s="704" t="str">
        <f t="shared" si="15"/>
        <v>BVASQWW</v>
      </c>
      <c r="F84" s="402"/>
      <c r="G84" s="402"/>
      <c r="H84" s="397"/>
      <c r="I84" s="397"/>
      <c r="J84" s="397"/>
      <c r="K84" s="397">
        <v>1</v>
      </c>
      <c r="L84" s="397">
        <v>1</v>
      </c>
      <c r="M84" s="397">
        <v>1</v>
      </c>
      <c r="N84" s="397">
        <v>1</v>
      </c>
      <c r="O84" s="397"/>
      <c r="P84" s="397"/>
      <c r="Q84" s="397"/>
      <c r="R84" s="397"/>
      <c r="S84" s="397"/>
      <c r="T84" s="397"/>
      <c r="U84" s="397"/>
      <c r="V84" s="397"/>
      <c r="W84" s="402"/>
      <c r="X84" s="402"/>
      <c r="Y84" s="397">
        <f t="shared" si="12"/>
        <v>4</v>
      </c>
      <c r="Z84" s="400"/>
    </row>
  </sheetData>
  <mergeCells count="25">
    <mergeCell ref="Z55:Z56"/>
    <mergeCell ref="Z57:Z58"/>
    <mergeCell ref="Z59:Z60"/>
    <mergeCell ref="Z61:Z62"/>
    <mergeCell ref="Z63:Z64"/>
    <mergeCell ref="Z45:Z46"/>
    <mergeCell ref="Z47:Z48"/>
    <mergeCell ref="Z49:Z50"/>
    <mergeCell ref="Z51:Z52"/>
    <mergeCell ref="Z53:Z54"/>
    <mergeCell ref="Z33:Z35"/>
    <mergeCell ref="Z36:Z38"/>
    <mergeCell ref="Z39:Z40"/>
    <mergeCell ref="Z41:Z42"/>
    <mergeCell ref="Z43:Z44"/>
    <mergeCell ref="Z18:Z20"/>
    <mergeCell ref="Z21:Z23"/>
    <mergeCell ref="Z24:Z26"/>
    <mergeCell ref="Z27:Z29"/>
    <mergeCell ref="Z30:Z32"/>
    <mergeCell ref="Z3:Z5"/>
    <mergeCell ref="Z6:Z8"/>
    <mergeCell ref="Z9:Z11"/>
    <mergeCell ref="Z12:Z14"/>
    <mergeCell ref="Z15:Z17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 tint="-0.249977111117893"/>
  </sheetPr>
  <dimension ref="A1"/>
  <sheetViews>
    <sheetView workbookViewId="0">
      <selection activeCell="J17" sqref="J17"/>
    </sheetView>
  </sheetViews>
  <sheetFormatPr defaultRowHeight="12.75" x14ac:dyDescent="0.2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76B40B0582834A92E871BBEA42F993" ma:contentTypeVersion="6" ma:contentTypeDescription="Create a new document." ma:contentTypeScope="" ma:versionID="3f87e19f9200ea59a6bc4bb8a8ae1485">
  <xsd:schema xmlns:xsd="http://www.w3.org/2001/XMLSchema" xmlns:xs="http://www.w3.org/2001/XMLSchema" xmlns:p="http://schemas.microsoft.com/office/2006/metadata/properties" xmlns:ns2="842ee1c2-8723-4869-aae7-0b3223a3dd29" xmlns:ns3="b7fc6196-f7ba-4d9f-ac80-d3e5d0c492cd" targetNamespace="http://schemas.microsoft.com/office/2006/metadata/properties" ma:root="true" ma:fieldsID="3ee1e24705e3af95b4c4d0392f454f52" ns2:_="" ns3:_="">
    <xsd:import namespace="842ee1c2-8723-4869-aae7-0b3223a3dd29"/>
    <xsd:import namespace="b7fc6196-f7ba-4d9f-ac80-d3e5d0c492c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2ee1c2-8723-4869-aae7-0b3223a3dd2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c6196-f7ba-4d9f-ac80-d3e5d0c492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5A9548-1E97-4AD2-8150-2CC91F23D8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C7598D-7791-431D-9385-1159912CE76A}">
  <ds:schemaRefs>
    <ds:schemaRef ds:uri="http://purl.org/dc/dcmitype/"/>
    <ds:schemaRef ds:uri="http://schemas.microsoft.com/office/2006/documentManagement/types"/>
    <ds:schemaRef ds:uri="b7fc6196-f7ba-4d9f-ac80-d3e5d0c492cd"/>
    <ds:schemaRef ds:uri="842ee1c2-8723-4869-aae7-0b3223a3dd29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3AB85A6-F224-4E9D-9AB6-C4F65BA4B1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2ee1c2-8723-4869-aae7-0b3223a3dd29"/>
    <ds:schemaRef ds:uri="b7fc6196-f7ba-4d9f-ac80-d3e5d0c492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NEW SHOES</vt:lpstr>
      <vt:lpstr>EXISTING</vt:lpstr>
      <vt:lpstr>EUROPEAN SHOES</vt:lpstr>
      <vt:lpstr>CARE PRODUCTS &amp; MISC</vt:lpstr>
      <vt:lpstr>SOCKS</vt:lpstr>
      <vt:lpstr>FOOTBEDS</vt:lpstr>
      <vt:lpstr>BELTS</vt:lpstr>
      <vt:lpstr>GLOVES &amp; SCUFFS</vt:lpstr>
      <vt:lpstr>QUADREX &amp; SLIPPERS</vt:lpstr>
      <vt:lpstr>SAFETY GLASSES</vt:lpstr>
      <vt:lpstr>QR BELTS</vt:lpstr>
      <vt:lpstr>SKU Dist</vt:lpstr>
      <vt:lpstr>NOTES</vt:lpstr>
      <vt:lpstr>BELTS!Print_Area</vt:lpstr>
      <vt:lpstr>'CARE PRODUCTS &amp; MISC'!Print_Area</vt:lpstr>
      <vt:lpstr>'EUROPEAN SHOES'!Print_Area</vt:lpstr>
      <vt:lpstr>EXISTING!Print_Area</vt:lpstr>
      <vt:lpstr>FOOTBEDS!Print_Area</vt:lpstr>
      <vt:lpstr>'GLOVES &amp; SCUFFS'!Print_Area</vt:lpstr>
      <vt:lpstr>'NEW SHOES'!Print_Area</vt:lpstr>
      <vt:lpstr>'QR BELTS'!Print_Area</vt:lpstr>
      <vt:lpstr>'QUADREX &amp; SLIPPERS'!Print_Area</vt:lpstr>
      <vt:lpstr>'SAFETY GLASSES'!Print_Area</vt:lpstr>
      <vt:lpstr>SOCKS!Print_Area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Spring18 Insul_WP_Hunt Preseason RW_WX_IS Buying Program 1 Order Form</dc:title>
  <dc:subject/>
  <dc:creator>Pam Huppert</dc:creator>
  <cp:keywords/>
  <dc:description/>
  <cp:lastModifiedBy>Tyler Johnson</cp:lastModifiedBy>
  <cp:revision/>
  <dcterms:created xsi:type="dcterms:W3CDTF">2012-06-13T19:59:42Z</dcterms:created>
  <dcterms:modified xsi:type="dcterms:W3CDTF">2026-01-12T20:17:10Z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0x0101008A76B40B0582834A92E871BBEA42F993</vt:lpwstr>
  </property>
  <property fmtid="{D5CDD505-2E9C-101B-9397-08002B2CF9AE}" pid="3" name="MediaServiceImageTags">
    <vt:lpwstr/>
  </property>
</Properties>
</file>